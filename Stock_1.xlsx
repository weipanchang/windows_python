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<sst xmlns="http://schemas.openxmlformats.org/spreadsheetml/2006/main" count="122" uniqueCount="46">
  <si>
    <t xml:space="preserve">Company Name</t>
  </si>
  <si>
    <t xml:space="preserve">Stock / Fund</t>
  </si>
  <si>
    <t xml:space="preserve">Stock Symbol</t>
  </si>
  <si>
    <t xml:space="preserve">Platform</t>
  </si>
  <si>
    <t xml:space="preserve">Shares Holding</t>
  </si>
  <si>
    <t xml:space="preserve">Buy Price</t>
  </si>
  <si>
    <t xml:space="preserve">Current price</t>
  </si>
  <si>
    <t xml:space="preserve">Profit</t>
  </si>
  <si>
    <t xml:space="preserve">Total Market Value</t>
  </si>
  <si>
    <t xml:space="preserve">ROI</t>
  </si>
  <si>
    <t xml:space="preserve">Adobe Inc.</t>
  </si>
  <si>
    <t xml:space="preserve">Stock</t>
  </si>
  <si>
    <t xml:space="preserve">ADBE</t>
  </si>
  <si>
    <t xml:space="preserve">eTrade</t>
  </si>
  <si>
    <t xml:space="preserve">Meta Platforms, Inc.</t>
  </si>
  <si>
    <t xml:space="preserve">META</t>
  </si>
  <si>
    <t xml:space="preserve">Chase</t>
  </si>
  <si>
    <t xml:space="preserve">QQQM</t>
  </si>
  <si>
    <t xml:space="preserve">NVDA</t>
  </si>
  <si>
    <t xml:space="preserve">Amazon.com Inc</t>
  </si>
  <si>
    <t xml:space="preserve">AMZN</t>
  </si>
  <si>
    <t xml:space="preserve">Cadence Design Systems Inc</t>
  </si>
  <si>
    <t xml:space="preserve">CDNS</t>
  </si>
  <si>
    <t xml:space="preserve">JPMorgan Nasdaq Equity Premium Income ETF</t>
  </si>
  <si>
    <t xml:space="preserve">ETF</t>
  </si>
  <si>
    <t xml:space="preserve">JEPQ</t>
  </si>
  <si>
    <t xml:space="preserve">Roundhill Weekly T Bill ETF</t>
  </si>
  <si>
    <t xml:space="preserve">WEEK</t>
  </si>
  <si>
    <t xml:space="preserve">Texas Capital Government Money Market ETF</t>
  </si>
  <si>
    <t xml:space="preserve">MMKT</t>
  </si>
  <si>
    <t xml:space="preserve">Invesco NASDAQ 100 ETF</t>
  </si>
  <si>
    <t xml:space="preserve">YieldMax Universe Fund of Option Income ETFs </t>
  </si>
  <si>
    <t xml:space="preserve">YMAX</t>
  </si>
  <si>
    <t xml:space="preserve">YieldMax Semiconductor Portfolio Option Income ETF</t>
  </si>
  <si>
    <t xml:space="preserve">CHPY</t>
  </si>
  <si>
    <t xml:space="preserve">NVIDIA Corporation </t>
  </si>
  <si>
    <t xml:space="preserve">Cash</t>
  </si>
  <si>
    <t xml:space="preserve">Alliance Annunity</t>
  </si>
  <si>
    <t xml:space="preserve">Chase Total</t>
  </si>
  <si>
    <t xml:space="preserve">eTrade Total</t>
  </si>
  <si>
    <t xml:space="preserve">Summary UnCashed (exclude Morgan Stanley &amp; Adobe ESPP)</t>
  </si>
  <si>
    <t xml:space="preserve">Summary UnRealized</t>
  </si>
  <si>
    <t xml:space="preserve">Total Exclude ADBE</t>
  </si>
  <si>
    <t xml:space="preserve">Accumulate Realized Profit </t>
  </si>
  <si>
    <t xml:space="preserve">Exclude Adobe</t>
  </si>
  <si>
    <t xml:space="preserve">Toal Invest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</si>
</sst>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;[RED]\-#,##0.00"/>
    <numFmt numFmtId="166" formatCode="\$#,##0.00"/>
    <numFmt numFmtId="167" formatCode="\$#,##0.00\ ;[RED]&quot;($&quot;#,##0.00\)"/>
    <numFmt numFmtId="168" formatCode="0.00%"/>
    <numFmt numFmtId="169" formatCode="#,##0.00"/>
    <numFmt numFmtId="170" formatCode="[$$-409]#,##0.00;[RED]\-[$$-409]#,##0.00"/>
    <numFmt numFmtId="171" formatCode="0.00"/>
    <numFmt numFmtId="172" formatCode="h:mm\ AM/PM"/>
    <numFmt numFmtId="173" formatCode="[$-409]dddd&quot;, &quot;mmmm\ d&quot;, &quot;yyyy"/>
    <numFmt numFmtId="174" formatCode="[$-409]h:mm\ AM/PM;@"/>
    <numFmt numFmtId="175" formatCode="yyyy\年m\月d&quot;日 &quot;dddd&quot;, &quot;"/>
  </numFmts>
  <fonts count="10">
    <font>
      <sz val="11"/>
      <color rgb="FF000000"/>
      <name val="Microsoft JhengHe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sz val="11"/>
      <color rgb="FF333333"/>
      <name val="Microsoft JhengHei"/>
      <family val="2"/>
      <charset val="1"/>
    </font>
    <font>
      <b val="true"/>
      <sz val="14"/>
      <color rgb="FF000000"/>
      <name val="Microsoft JhengHei"/>
      <family val="2"/>
      <charset val="1"/>
    </font>
    <font>
      <b val="true"/>
      <sz val="11"/>
      <color rgb="FF000000"/>
      <name val="Microsoft JhengHei"/>
      <family val="2"/>
      <charset val="1"/>
    </font>
    <font>
      <b val="true"/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5983B0"/>
        <bgColor rgb="FF808080"/>
      </patternFill>
    </fill>
    <fill>
      <patternFill patternType="solid">
        <fgColor rgb="FFFFD8CE"/>
        <bgColor rgb="FFF2DCDB"/>
      </patternFill>
    </fill>
    <fill>
      <patternFill patternType="solid">
        <fgColor rgb="FFFFF5CE"/>
        <bgColor rgb="FFFFFF99"/>
      </patternFill>
    </fill>
    <fill>
      <patternFill patternType="solid">
        <fgColor rgb="FFF2DCDB"/>
        <bgColor rgb="FFFFD8CE"/>
      </patternFill>
    </fill>
    <fill>
      <patternFill patternType="solid">
        <fgColor rgb="FFB9CDE5"/>
        <bgColor rgb="FFB4C7DC"/>
      </patternFill>
    </fill>
    <fill>
      <patternFill patternType="solid">
        <fgColor rgb="FFB4C7DC"/>
        <bgColor rgb="FFB9CDE5"/>
      </patternFill>
    </fill>
    <fill>
      <patternFill patternType="solid">
        <fgColor rgb="FFC6D9F1"/>
        <bgColor rgb="FFB9CDE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ouble"/>
      <right style="double"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5" fontId="4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bottom" textRotation="0" wrapText="true" indent="2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5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bottom" textRotation="0" wrapText="true" indent="2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false" indent="2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6" borderId="2" xfId="0" applyFont="false" applyBorder="true" applyAlignment="true" applyProtection="false">
      <alignment horizontal="left" vertical="bottom" textRotation="0" wrapText="false" indent="4" shrinkToFit="false"/>
      <protection locked="true" hidden="false"/>
    </xf>
    <xf numFmtId="171" fontId="0" fillId="6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left" vertical="bottom" textRotation="0" wrapText="false" indent="4" shrinkToFit="false"/>
      <protection locked="true" hidden="false"/>
    </xf>
    <xf numFmtId="171" fontId="0" fillId="7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1" fontId="0" fillId="9" borderId="1" xfId="0" applyFont="false" applyBorder="true" applyAlignment="true" applyProtection="false">
      <alignment horizontal="left" vertical="bottom" textRotation="0" wrapText="false" indent="2" shrinkToFit="false"/>
      <protection locked="true" hidden="false"/>
    </xf>
    <xf numFmtId="168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left" vertical="bottom" textRotation="0" wrapText="false" indent="4" shrinkToFit="false"/>
      <protection locked="true" hidden="false"/>
    </xf>
    <xf numFmtId="171" fontId="0" fillId="9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4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7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DCD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9CDE5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32" topLeftCell="A49" activePane="bottomLeft" state="frozen"/>
      <selection pane="topLeft" activeCell="A1" activeCellId="0" sqref="A1"/>
      <selection pane="bottomLeft" activeCell="A50" activeCellId="0" sqref="A50"/>
    </sheetView>
  </sheetViews>
  <sheetFormatPr defaultColWidth="35.640625" defaultRowHeight="13.5" customHeight="true" zeroHeight="false" outlineLevelRow="0" outlineLevelCol="0"/>
  <cols>
    <col collapsed="false" customWidth="true" hidden="false" outlineLevel="0" max="1" min="1" style="1" width="46.63"/>
    <col collapsed="false" customWidth="true" hidden="false" outlineLevel="0" max="2" min="2" style="1" width="15.49"/>
    <col collapsed="false" customWidth="true" hidden="false" outlineLevel="0" max="3" min="3" style="1" width="15.86"/>
    <col collapsed="false" customWidth="true" hidden="false" outlineLevel="0" max="4" min="4" style="1" width="17.71"/>
    <col collapsed="false" customWidth="true" hidden="false" outlineLevel="0" max="5" min="5" style="1" width="12.8"/>
    <col collapsed="false" customWidth="true" hidden="false" outlineLevel="0" max="6" min="6" style="1" width="11.44"/>
    <col collapsed="false" customWidth="true" hidden="false" outlineLevel="0" max="7" min="7" style="1" width="11.02"/>
    <col collapsed="false" customWidth="true" hidden="false" outlineLevel="0" max="8" min="8" style="1" width="11.66"/>
    <col collapsed="false" customWidth="true" hidden="false" outlineLevel="0" max="9" min="9" style="1" width="15.86"/>
    <col collapsed="false" customWidth="true" hidden="false" outlineLevel="0" max="10" min="10" style="1" width="10.77"/>
    <col collapsed="false" customWidth="true" hidden="false" outlineLevel="0" max="11" min="11" style="1" width="2.54"/>
    <col collapsed="false" customWidth="true" hidden="false" outlineLevel="0" max="12" min="12" style="1" width="19.16"/>
    <col collapsed="false" customWidth="true" hidden="false" outlineLevel="0" max="13" min="13" style="1" width="15.01"/>
    <col collapsed="false" customWidth="true" hidden="false" outlineLevel="0" max="14" min="14" style="1" width="15.68"/>
    <col collapsed="false" customWidth="true" hidden="false" outlineLevel="0" max="15" min="15" style="1" width="12.8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.7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16.5" hidden="false" customHeight="true" outlineLevel="0" collapsed="false">
      <c r="A3" s="4" t="s">
        <v>10</v>
      </c>
      <c r="B3" s="5" t="s">
        <v>11</v>
      </c>
      <c r="C3" s="6" t="s">
        <v>12</v>
      </c>
      <c r="D3" s="6" t="s">
        <v>13</v>
      </c>
      <c r="E3" s="7" t="n">
        <v>126</v>
      </c>
      <c r="F3" s="8" t="n">
        <v>19.86</v>
      </c>
      <c r="G3" s="9" t="n">
        <v>331.11</v>
      </c>
      <c r="H3" s="10" t="n">
        <f aca="false">(+G3-F3)*E3</f>
        <v>39217.5</v>
      </c>
      <c r="I3" s="10" t="n">
        <f aca="false">+G3*E3</f>
        <v>41719.86</v>
      </c>
      <c r="J3" s="11" t="n">
        <f aca="false">+H3/(I3-H3)</f>
        <v>15.6722054380665</v>
      </c>
      <c r="K3" s="12"/>
      <c r="M3" s="13"/>
    </row>
    <row r="4" customFormat="false" ht="16.5" hidden="false" customHeight="true" outlineLevel="0" collapsed="false">
      <c r="A4" s="14" t="s">
        <v>14</v>
      </c>
      <c r="B4" s="15" t="s">
        <v>11</v>
      </c>
      <c r="C4" s="16" t="s">
        <v>15</v>
      </c>
      <c r="D4" s="16" t="s">
        <v>16</v>
      </c>
      <c r="E4" s="17" t="n">
        <v>35</v>
      </c>
      <c r="F4" s="18" t="n">
        <v>279.205</v>
      </c>
      <c r="G4" s="18" t="n">
        <v>609.46</v>
      </c>
      <c r="H4" s="19" t="n">
        <f aca="false">(+G4-F4)*E4</f>
        <v>11558.925</v>
      </c>
      <c r="I4" s="19" t="n">
        <f aca="false">+G4*E4</f>
        <v>21331.1</v>
      </c>
      <c r="J4" s="20" t="n">
        <f aca="false">+H4/(I4-H4)</f>
        <v>1.18284056517613</v>
      </c>
      <c r="K4" s="12"/>
      <c r="L4" s="21"/>
      <c r="O4" s="22"/>
    </row>
    <row r="5" customFormat="false" ht="16.5" hidden="false" customHeight="true" outlineLevel="0" collapsed="false">
      <c r="A5" s="14" t="s">
        <v>14</v>
      </c>
      <c r="B5" s="15" t="s">
        <v>11</v>
      </c>
      <c r="C5" s="16" t="s">
        <v>15</v>
      </c>
      <c r="D5" s="16" t="s">
        <v>16</v>
      </c>
      <c r="E5" s="17" t="n">
        <v>4</v>
      </c>
      <c r="F5" s="18" t="n">
        <v>605.31</v>
      </c>
      <c r="G5" s="19" t="n">
        <v>609.46</v>
      </c>
      <c r="H5" s="19" t="n">
        <f aca="false">(+G5-F5)*E5</f>
        <v>16.6000000000004</v>
      </c>
      <c r="I5" s="19" t="n">
        <f aca="false">+G5*E5</f>
        <v>2437.84</v>
      </c>
      <c r="J5" s="20" t="n">
        <f aca="false">+H5/(I5-H5)</f>
        <v>0.00685599114503327</v>
      </c>
      <c r="K5" s="12"/>
      <c r="L5" s="1" t="s">
        <v>15</v>
      </c>
      <c r="M5" s="21" t="n">
        <f aca="false">SUM(I4:I10)</f>
        <v>29432.1459282</v>
      </c>
    </row>
    <row r="6" customFormat="false" ht="16.5" hidden="false" customHeight="true" outlineLevel="0" collapsed="false">
      <c r="A6" s="23" t="s">
        <v>14</v>
      </c>
      <c r="B6" s="24" t="s">
        <v>11</v>
      </c>
      <c r="C6" s="16" t="s">
        <v>15</v>
      </c>
      <c r="D6" s="16" t="s">
        <v>16</v>
      </c>
      <c r="E6" s="17" t="n">
        <v>0.15353</v>
      </c>
      <c r="F6" s="18" t="n">
        <v>347.208397805935</v>
      </c>
      <c r="G6" s="18" t="n">
        <v>609.46</v>
      </c>
      <c r="H6" s="19" t="n">
        <f aca="false">(+G6-F6)*E6</f>
        <v>40.2634884848548</v>
      </c>
      <c r="I6" s="19" t="n">
        <f aca="false">+G6*E6</f>
        <v>93.5703938</v>
      </c>
      <c r="J6" s="20" t="n">
        <f aca="false">+H6/(I6-H6)</f>
        <v>0.755314686658717</v>
      </c>
      <c r="K6" s="12"/>
      <c r="L6" s="1" t="s">
        <v>17</v>
      </c>
      <c r="M6" s="21" t="n">
        <f aca="false">I16</f>
        <v>15039</v>
      </c>
    </row>
    <row r="7" customFormat="false" ht="16.5" hidden="false" customHeight="true" outlineLevel="0" collapsed="false">
      <c r="A7" s="23" t="s">
        <v>14</v>
      </c>
      <c r="B7" s="24" t="s">
        <v>11</v>
      </c>
      <c r="C7" s="16" t="s">
        <v>15</v>
      </c>
      <c r="D7" s="16" t="s">
        <v>16</v>
      </c>
      <c r="E7" s="17" t="n">
        <v>9</v>
      </c>
      <c r="F7" s="18" t="n">
        <v>594.16</v>
      </c>
      <c r="G7" s="18" t="n">
        <v>609.46</v>
      </c>
      <c r="H7" s="19" t="n">
        <f aca="false">(+G7-F7)*E7</f>
        <v>137.700000000001</v>
      </c>
      <c r="I7" s="19" t="n">
        <f aca="false">+G7*E7</f>
        <v>5485.14</v>
      </c>
      <c r="J7" s="20" t="n">
        <f aca="false">+H7/(I7-H7)</f>
        <v>0.0257506395583682</v>
      </c>
      <c r="K7" s="12"/>
      <c r="L7" s="1" t="s">
        <v>18</v>
      </c>
      <c r="M7" s="21" t="n">
        <f aca="false">SUM(I19:I25)</f>
        <v>40958.3734056</v>
      </c>
    </row>
    <row r="8" customFormat="false" ht="16.5" hidden="false" customHeight="true" outlineLevel="0" collapsed="false">
      <c r="A8" s="23" t="s">
        <v>14</v>
      </c>
      <c r="B8" s="24" t="s">
        <v>11</v>
      </c>
      <c r="C8" s="16" t="s">
        <v>15</v>
      </c>
      <c r="D8" s="16" t="s">
        <v>16</v>
      </c>
      <c r="E8" s="17" t="n">
        <v>0.04064</v>
      </c>
      <c r="F8" s="17" t="n">
        <v>621.98</v>
      </c>
      <c r="G8" s="18" t="n">
        <v>609.46</v>
      </c>
      <c r="H8" s="19" t="n">
        <f aca="false">(+G8-F8)*E8</f>
        <v>-0.508812799999999</v>
      </c>
      <c r="I8" s="19" t="n">
        <f aca="false">+G8*E8</f>
        <v>24.7684544</v>
      </c>
      <c r="J8" s="20" t="n">
        <f aca="false">+H8/(I8-H8)</f>
        <v>-0.020129264606579</v>
      </c>
      <c r="K8" s="12"/>
      <c r="L8" s="1" t="s">
        <v>12</v>
      </c>
      <c r="M8" s="21" t="n">
        <f aca="false">I3</f>
        <v>41719.86</v>
      </c>
    </row>
    <row r="9" customFormat="false" ht="16.5" hidden="false" customHeight="true" outlineLevel="0" collapsed="false">
      <c r="A9" s="23" t="s">
        <v>14</v>
      </c>
      <c r="B9" s="24" t="s">
        <v>11</v>
      </c>
      <c r="C9" s="16" t="s">
        <v>15</v>
      </c>
      <c r="D9" s="16" t="s">
        <v>16</v>
      </c>
      <c r="E9" s="17" t="n">
        <v>0.05009</v>
      </c>
      <c r="F9" s="17" t="n">
        <v>714.69</v>
      </c>
      <c r="G9" s="18" t="n">
        <v>609.46</v>
      </c>
      <c r="H9" s="19" t="n">
        <f aca="false">(+G9-F9)*E9</f>
        <v>-5.2709707</v>
      </c>
      <c r="I9" s="19" t="n">
        <f aca="false">+G9*E9</f>
        <v>30.5278514</v>
      </c>
      <c r="J9" s="20" t="n">
        <f aca="false">+H9/(I9-H9)</f>
        <v>-0.147238662916789</v>
      </c>
      <c r="K9" s="12"/>
      <c r="M9" s="21"/>
      <c r="N9" s="25"/>
    </row>
    <row r="10" customFormat="false" ht="16.5" hidden="false" customHeight="true" outlineLevel="0" collapsed="false">
      <c r="A10" s="23" t="s">
        <v>14</v>
      </c>
      <c r="B10" s="24" t="s">
        <v>11</v>
      </c>
      <c r="C10" s="16" t="s">
        <v>15</v>
      </c>
      <c r="D10" s="16" t="s">
        <v>16</v>
      </c>
      <c r="E10" s="26" t="n">
        <v>0.04791</v>
      </c>
      <c r="F10" s="17" t="n">
        <v>747.73</v>
      </c>
      <c r="G10" s="18" t="n">
        <v>609.46</v>
      </c>
      <c r="H10" s="19" t="n">
        <f aca="false">(+G10-F10)*E10</f>
        <v>-6.6245157</v>
      </c>
      <c r="I10" s="19" t="n">
        <f aca="false">+G10*E10</f>
        <v>29.1992286</v>
      </c>
      <c r="J10" s="20" t="n">
        <f aca="false">+H10/(I10-H10)</f>
        <v>-0.184919690262528</v>
      </c>
      <c r="K10" s="12"/>
      <c r="M10" s="21"/>
      <c r="N10" s="25"/>
    </row>
    <row r="11" customFormat="false" ht="16.5" hidden="false" customHeight="true" outlineLevel="0" collapsed="false">
      <c r="A11" s="14" t="s">
        <v>19</v>
      </c>
      <c r="B11" s="15" t="s">
        <v>11</v>
      </c>
      <c r="C11" s="16" t="s">
        <v>20</v>
      </c>
      <c r="D11" s="16" t="s">
        <v>16</v>
      </c>
      <c r="E11" s="17" t="n">
        <v>60</v>
      </c>
      <c r="F11" s="18" t="n">
        <v>227.59</v>
      </c>
      <c r="G11" s="19" t="n">
        <v>234.69</v>
      </c>
      <c r="H11" s="19" t="n">
        <f aca="false">(+G11-F11)*E11</f>
        <v>426</v>
      </c>
      <c r="I11" s="19" t="n">
        <f aca="false">+G11*E11</f>
        <v>14081.4</v>
      </c>
      <c r="J11" s="20" t="n">
        <f aca="false">+H11/(I11-H11)</f>
        <v>0.0311964497561404</v>
      </c>
      <c r="K11" s="12"/>
      <c r="M11" s="21"/>
    </row>
    <row r="12" customFormat="false" ht="16.5" hidden="false" customHeight="true" outlineLevel="0" collapsed="false">
      <c r="A12" s="14" t="s">
        <v>21</v>
      </c>
      <c r="B12" s="15" t="s">
        <v>11</v>
      </c>
      <c r="C12" s="16" t="s">
        <v>22</v>
      </c>
      <c r="D12" s="16" t="s">
        <v>16</v>
      </c>
      <c r="E12" s="17" t="n">
        <v>42</v>
      </c>
      <c r="F12" s="18" t="n">
        <v>334.83</v>
      </c>
      <c r="G12" s="19" t="n">
        <v>314.93</v>
      </c>
      <c r="H12" s="19" t="n">
        <f aca="false">(+G12-F12)*E12</f>
        <v>-835.799999999999</v>
      </c>
      <c r="I12" s="19" t="n">
        <f aca="false">+G12*E12</f>
        <v>13227.06</v>
      </c>
      <c r="J12" s="20" t="n">
        <f aca="false">+H12/(I12-H12)</f>
        <v>-0.05943314517815</v>
      </c>
      <c r="K12" s="12"/>
      <c r="M12" s="21"/>
    </row>
    <row r="13" customFormat="false" ht="16.5" hidden="false" customHeight="true" outlineLevel="0" collapsed="false">
      <c r="A13" s="23" t="s">
        <v>23</v>
      </c>
      <c r="B13" s="24" t="s">
        <v>24</v>
      </c>
      <c r="C13" s="16" t="s">
        <v>25</v>
      </c>
      <c r="D13" s="16" t="s">
        <v>16</v>
      </c>
      <c r="E13" s="17" t="n">
        <v>86</v>
      </c>
      <c r="F13" s="17" t="n">
        <v>58.25</v>
      </c>
      <c r="G13" s="18" t="n">
        <v>57.82</v>
      </c>
      <c r="H13" s="19" t="n">
        <f aca="false">(+G13-F13)*E13</f>
        <v>-36.98</v>
      </c>
      <c r="I13" s="19" t="n">
        <f aca="false">+G13*E13</f>
        <v>4972.52</v>
      </c>
      <c r="J13" s="20" t="n">
        <f aca="false">+H13/(I13-H13)</f>
        <v>-0.00738197424892703</v>
      </c>
      <c r="K13" s="12"/>
      <c r="M13" s="21"/>
    </row>
    <row r="14" customFormat="false" ht="16.5" hidden="false" customHeight="true" outlineLevel="0" collapsed="false">
      <c r="A14" s="23" t="s">
        <v>26</v>
      </c>
      <c r="B14" s="24" t="s">
        <v>24</v>
      </c>
      <c r="C14" s="16" t="s">
        <v>27</v>
      </c>
      <c r="D14" s="16" t="s">
        <v>16</v>
      </c>
      <c r="E14" s="17" t="n">
        <v>77.01</v>
      </c>
      <c r="F14" s="17" t="n">
        <v>100.07</v>
      </c>
      <c r="G14" s="18" t="n">
        <v>100.1</v>
      </c>
      <c r="H14" s="19" t="n">
        <f aca="false">(+G14-F14)*E14</f>
        <v>2.31030000000009</v>
      </c>
      <c r="I14" s="19" t="n">
        <f aca="false">+G14*E14</f>
        <v>7708.701</v>
      </c>
      <c r="J14" s="20" t="n">
        <f aca="false">+H14/(I14-H14)</f>
        <v>0.000299790146897183</v>
      </c>
      <c r="K14" s="12"/>
      <c r="M14" s="21"/>
      <c r="N14" s="25"/>
    </row>
    <row r="15" customFormat="false" ht="16.5" hidden="false" customHeight="true" outlineLevel="0" collapsed="false">
      <c r="A15" s="23" t="s">
        <v>28</v>
      </c>
      <c r="B15" s="24" t="s">
        <v>24</v>
      </c>
      <c r="C15" s="16" t="s">
        <v>29</v>
      </c>
      <c r="D15" s="16" t="s">
        <v>16</v>
      </c>
      <c r="E15" s="17" t="n">
        <v>100</v>
      </c>
      <c r="F15" s="17" t="n">
        <v>100.24</v>
      </c>
      <c r="G15" s="18" t="n">
        <v>100.23</v>
      </c>
      <c r="H15" s="19" t="n">
        <f aca="false">(+G15-F15)*E15</f>
        <v>-0.999999999999091</v>
      </c>
      <c r="I15" s="19" t="n">
        <f aca="false">+G15*E15</f>
        <v>10023</v>
      </c>
      <c r="J15" s="20" t="n">
        <f aca="false">+H15/(I15-H15)</f>
        <v>-9.97605746208191E-005</v>
      </c>
      <c r="K15" s="12"/>
      <c r="M15" s="21"/>
      <c r="N15" s="25"/>
    </row>
    <row r="16" customFormat="false" ht="16.5" hidden="false" customHeight="true" outlineLevel="0" collapsed="false">
      <c r="A16" s="23" t="s">
        <v>30</v>
      </c>
      <c r="B16" s="24" t="s">
        <v>24</v>
      </c>
      <c r="C16" s="16" t="s">
        <v>17</v>
      </c>
      <c r="D16" s="16" t="s">
        <v>16</v>
      </c>
      <c r="E16" s="17" t="n">
        <v>60</v>
      </c>
      <c r="F16" s="17" t="n">
        <v>257.09</v>
      </c>
      <c r="G16" s="18" t="n">
        <v>250.65</v>
      </c>
      <c r="H16" s="19" t="n">
        <f aca="false">(+G16-F16)*E16</f>
        <v>-386.399999999998</v>
      </c>
      <c r="I16" s="19" t="n">
        <f aca="false">+G16*E16</f>
        <v>15039</v>
      </c>
      <c r="J16" s="20" t="n">
        <f aca="false">+H16/(I16-H16)</f>
        <v>-0.0250495935275583</v>
      </c>
      <c r="K16" s="12"/>
      <c r="M16" s="21"/>
      <c r="N16" s="25"/>
    </row>
    <row r="17" customFormat="false" ht="16.5" hidden="false" customHeight="true" outlineLevel="0" collapsed="false">
      <c r="A17" s="23" t="s">
        <v>31</v>
      </c>
      <c r="B17" s="24" t="s">
        <v>24</v>
      </c>
      <c r="C17" s="16" t="s">
        <v>32</v>
      </c>
      <c r="D17" s="16" t="s">
        <v>16</v>
      </c>
      <c r="E17" s="17" t="n">
        <v>437.23986</v>
      </c>
      <c r="F17" s="17" t="n">
        <v>13.5480328806252</v>
      </c>
      <c r="G17" s="18" t="n">
        <v>10.86</v>
      </c>
      <c r="H17" s="19" t="n">
        <f aca="false">(+G17-F17)*E17</f>
        <v>-1175.31512039996</v>
      </c>
      <c r="I17" s="19" t="n">
        <f aca="false">+G17*E17</f>
        <v>4748.4248796</v>
      </c>
      <c r="J17" s="20" t="n">
        <f aca="false">+H17/(I17-H17)</f>
        <v>-0.198407614176174</v>
      </c>
      <c r="K17" s="12"/>
      <c r="M17" s="21"/>
      <c r="N17" s="25"/>
    </row>
    <row r="18" customFormat="false" ht="16.5" hidden="false" customHeight="true" outlineLevel="0" collapsed="false">
      <c r="A18" s="23" t="s">
        <v>33</v>
      </c>
      <c r="B18" s="24" t="s">
        <v>24</v>
      </c>
      <c r="C18" s="16" t="s">
        <v>34</v>
      </c>
      <c r="D18" s="16" t="s">
        <v>16</v>
      </c>
      <c r="E18" s="17" t="n">
        <v>87</v>
      </c>
      <c r="F18" s="17" t="n">
        <v>57.37</v>
      </c>
      <c r="G18" s="18" t="n">
        <v>55.56</v>
      </c>
      <c r="H18" s="19" t="n">
        <f aca="false">(+G18-F18)*E18</f>
        <v>-157.47</v>
      </c>
      <c r="I18" s="19" t="n">
        <f aca="false">+G18*E18</f>
        <v>4833.72</v>
      </c>
      <c r="J18" s="20" t="n">
        <f aca="false">+H18/(I18-H18)</f>
        <v>-0.0315495903782464</v>
      </c>
      <c r="K18" s="12"/>
      <c r="M18" s="21"/>
      <c r="N18" s="25"/>
    </row>
    <row r="19" customFormat="false" ht="16.5" hidden="false" customHeight="true" outlineLevel="0" collapsed="false">
      <c r="A19" s="27" t="s">
        <v>35</v>
      </c>
      <c r="B19" s="28" t="s">
        <v>11</v>
      </c>
      <c r="C19" s="29" t="s">
        <v>18</v>
      </c>
      <c r="D19" s="29" t="s">
        <v>16</v>
      </c>
      <c r="E19" s="30" t="n">
        <v>155</v>
      </c>
      <c r="F19" s="31" t="n">
        <v>42.6094</v>
      </c>
      <c r="G19" s="32" t="n">
        <v>190.17</v>
      </c>
      <c r="H19" s="33" t="n">
        <f aca="false">(+G19-F19)*E19</f>
        <v>22871.893</v>
      </c>
      <c r="I19" s="33" t="n">
        <f aca="false">+G19*E19</f>
        <v>29476.35</v>
      </c>
      <c r="J19" s="34" t="n">
        <f aca="false">+H19/(I19-H19)</f>
        <v>3.46309969161734</v>
      </c>
      <c r="K19" s="12"/>
      <c r="M19" s="21"/>
      <c r="N19" s="25"/>
    </row>
    <row r="20" customFormat="false" ht="16.5" hidden="false" customHeight="true" outlineLevel="0" collapsed="false">
      <c r="A20" s="27" t="s">
        <v>35</v>
      </c>
      <c r="B20" s="28" t="s">
        <v>11</v>
      </c>
      <c r="C20" s="29" t="s">
        <v>18</v>
      </c>
      <c r="D20" s="29" t="s">
        <v>16</v>
      </c>
      <c r="E20" s="30" t="n">
        <v>60</v>
      </c>
      <c r="F20" s="31" t="n">
        <v>181.5</v>
      </c>
      <c r="G20" s="32" t="n">
        <v>190.17</v>
      </c>
      <c r="H20" s="33" t="n">
        <f aca="false">(+G20-F20)*E20</f>
        <v>520.199999999999</v>
      </c>
      <c r="I20" s="33" t="n">
        <f aca="false">+G20*E20</f>
        <v>11410.2</v>
      </c>
      <c r="J20" s="34" t="n">
        <f aca="false">+H20/(I20-H20)</f>
        <v>0.0477685950413223</v>
      </c>
      <c r="K20" s="12"/>
      <c r="M20" s="21"/>
      <c r="N20" s="25"/>
    </row>
    <row r="21" customFormat="false" ht="16.5" hidden="false" customHeight="true" outlineLevel="0" collapsed="false">
      <c r="A21" s="27" t="s">
        <v>35</v>
      </c>
      <c r="B21" s="28" t="s">
        <v>11</v>
      </c>
      <c r="C21" s="29" t="s">
        <v>18</v>
      </c>
      <c r="D21" s="29" t="s">
        <v>16</v>
      </c>
      <c r="E21" s="30" t="n">
        <v>0.2634</v>
      </c>
      <c r="F21" s="31" t="n">
        <v>121.09</v>
      </c>
      <c r="G21" s="32" t="n">
        <v>190.17</v>
      </c>
      <c r="H21" s="33" t="n">
        <f aca="false">(+G21-F21)*E21</f>
        <v>18.195672</v>
      </c>
      <c r="I21" s="33" t="n">
        <f aca="false">+G21*E21</f>
        <v>50.090778</v>
      </c>
      <c r="J21" s="34" t="n">
        <f aca="false">+H21/(I21-H21)</f>
        <v>0.570484763399125</v>
      </c>
      <c r="K21" s="12"/>
      <c r="L21" s="21"/>
      <c r="O21" s="22"/>
    </row>
    <row r="22" customFormat="false" ht="16.5" hidden="false" customHeight="true" outlineLevel="0" collapsed="false">
      <c r="A22" s="35" t="s">
        <v>35</v>
      </c>
      <c r="B22" s="36" t="s">
        <v>11</v>
      </c>
      <c r="C22" s="29" t="s">
        <v>18</v>
      </c>
      <c r="D22" s="29" t="s">
        <v>16</v>
      </c>
      <c r="E22" s="30" t="n">
        <v>0.02969</v>
      </c>
      <c r="F22" s="31" t="n">
        <v>136.4</v>
      </c>
      <c r="G22" s="31" t="n">
        <v>190.17</v>
      </c>
      <c r="H22" s="33" t="n">
        <f aca="false">(+G22-F22)*E22</f>
        <v>1.5964313</v>
      </c>
      <c r="I22" s="33" t="n">
        <f aca="false">+G22*E22</f>
        <v>5.6461473</v>
      </c>
      <c r="J22" s="34" t="n">
        <f aca="false">+H22/(I22-H22)</f>
        <v>0.394208211143695</v>
      </c>
      <c r="K22" s="12"/>
      <c r="M22" s="21"/>
    </row>
    <row r="23" customFormat="false" ht="16.5" hidden="false" customHeight="true" outlineLevel="0" collapsed="false">
      <c r="A23" s="35" t="s">
        <v>35</v>
      </c>
      <c r="B23" s="36" t="s">
        <v>11</v>
      </c>
      <c r="C23" s="29" t="s">
        <v>18</v>
      </c>
      <c r="D23" s="29" t="s">
        <v>16</v>
      </c>
      <c r="E23" s="30" t="n">
        <v>0.03773</v>
      </c>
      <c r="F23" s="31" t="n">
        <v>107.33</v>
      </c>
      <c r="G23" s="31" t="n">
        <v>190.17</v>
      </c>
      <c r="H23" s="33" t="n">
        <f aca="false">(+G23-F23)*E23</f>
        <v>3.1255532</v>
      </c>
      <c r="I23" s="33" t="n">
        <f aca="false">+G23*E23</f>
        <v>7.1751141</v>
      </c>
      <c r="J23" s="34" t="n">
        <f aca="false">+H23/(I23-H23)</f>
        <v>0.771825211963105</v>
      </c>
      <c r="K23" s="12"/>
      <c r="M23" s="21"/>
    </row>
    <row r="24" customFormat="false" ht="16.5" hidden="false" customHeight="true" outlineLevel="0" collapsed="false">
      <c r="A24" s="35" t="s">
        <v>35</v>
      </c>
      <c r="B24" s="36" t="s">
        <v>11</v>
      </c>
      <c r="C24" s="29" t="s">
        <v>18</v>
      </c>
      <c r="D24" s="29" t="s">
        <v>16</v>
      </c>
      <c r="E24" s="30" t="n">
        <v>0.0255</v>
      </c>
      <c r="F24" s="31" t="n">
        <v>158.77</v>
      </c>
      <c r="G24" s="31" t="n">
        <v>190.17</v>
      </c>
      <c r="H24" s="33" t="n">
        <f aca="false">(+G24-F24)*E24</f>
        <v>0.800699999999999</v>
      </c>
      <c r="I24" s="33" t="n">
        <f aca="false">+G24*E24</f>
        <v>4.849335</v>
      </c>
      <c r="J24" s="34" t="n">
        <f aca="false">+H24/(I24-H24)</f>
        <v>0.19777035963973</v>
      </c>
      <c r="K24" s="12"/>
      <c r="M24" s="21"/>
    </row>
    <row r="25" customFormat="false" ht="16.5" hidden="false" customHeight="true" outlineLevel="0" collapsed="false">
      <c r="A25" s="35" t="s">
        <v>35</v>
      </c>
      <c r="B25" s="36" t="s">
        <v>11</v>
      </c>
      <c r="C25" s="29" t="s">
        <v>18</v>
      </c>
      <c r="D25" s="29" t="s">
        <v>16</v>
      </c>
      <c r="E25" s="30" t="n">
        <v>0.02136</v>
      </c>
      <c r="F25" s="31" t="n">
        <v>189.6</v>
      </c>
      <c r="G25" s="31" t="n">
        <v>190.17</v>
      </c>
      <c r="H25" s="33" t="n">
        <f aca="false">(+G25-F25)*E25</f>
        <v>0.0121751999999999</v>
      </c>
      <c r="I25" s="33" t="n">
        <f aca="false">+G25*E25</f>
        <v>4.0620312</v>
      </c>
      <c r="J25" s="34" t="n">
        <f aca="false">+H25/(I25-H25)</f>
        <v>0.00300632911392401</v>
      </c>
      <c r="K25" s="12"/>
      <c r="M25" s="21"/>
    </row>
    <row r="26" customFormat="false" ht="16.5" hidden="false" customHeight="true" outlineLevel="0" collapsed="false">
      <c r="A26" s="4" t="s">
        <v>36</v>
      </c>
      <c r="B26" s="4"/>
      <c r="C26" s="6"/>
      <c r="D26" s="6" t="s">
        <v>16</v>
      </c>
      <c r="E26" s="37" t="n">
        <f aca="false">205.36+10248.53-10420.8+18435.03-12748.2-5003.32-605.95-43.2-45.23+345.11-188.24-93.95+25016.22-25044.7+199.9+7.76-223+5.81+73165-35062.41-4985.36+22.85+50.36+6.22+21.99-29081.8-4034.22+55.28+11806.32-5003.69+39.98-6503.78+7.42+6.14+39.53</f>
        <v>596.959999999999</v>
      </c>
      <c r="F26" s="8" t="n">
        <v>1</v>
      </c>
      <c r="G26" s="8" t="n">
        <v>1</v>
      </c>
      <c r="H26" s="10" t="n">
        <f aca="false">(+G26-F26)*E26</f>
        <v>0</v>
      </c>
      <c r="I26" s="10" t="n">
        <f aca="false">+G26*E26</f>
        <v>596.959999999999</v>
      </c>
      <c r="J26" s="38" t="n">
        <v>0</v>
      </c>
      <c r="K26" s="12"/>
    </row>
    <row r="27" customFormat="false" ht="16.5" hidden="false" customHeight="true" outlineLevel="0" collapsed="false">
      <c r="A27" s="4" t="s">
        <v>36</v>
      </c>
      <c r="B27" s="4"/>
      <c r="C27" s="6"/>
      <c r="D27" s="6" t="s">
        <v>13</v>
      </c>
      <c r="E27" s="37" t="n">
        <v>0.14</v>
      </c>
      <c r="F27" s="8" t="n">
        <v>1</v>
      </c>
      <c r="G27" s="8" t="n">
        <v>1</v>
      </c>
      <c r="H27" s="10" t="n">
        <f aca="false">(+G27-F27)*E27</f>
        <v>0</v>
      </c>
      <c r="I27" s="10" t="n">
        <f aca="false">+G27*E27</f>
        <v>0.14</v>
      </c>
      <c r="J27" s="11" t="n">
        <v>0</v>
      </c>
      <c r="K27" s="12"/>
      <c r="L27" s="1" t="s">
        <v>37</v>
      </c>
      <c r="M27" s="25" t="n">
        <v>27781.96</v>
      </c>
      <c r="N27" s="39" t="n">
        <v>37721.93</v>
      </c>
      <c r="O27" s="39" t="n">
        <v>27554.14</v>
      </c>
    </row>
    <row r="28" customFormat="false" ht="16.5" hidden="false" customHeight="true" outlineLevel="0" collapsed="false">
      <c r="A28" s="4" t="s">
        <v>13</v>
      </c>
      <c r="B28" s="4"/>
      <c r="C28" s="6"/>
      <c r="D28" s="6"/>
      <c r="E28" s="40"/>
      <c r="F28" s="8"/>
      <c r="G28" s="8"/>
      <c r="H28" s="10" t="n">
        <f aca="false">H3</f>
        <v>39217.5</v>
      </c>
      <c r="I28" s="10" t="n">
        <f aca="false">I3+I27</f>
        <v>41720</v>
      </c>
      <c r="J28" s="11" t="n">
        <f aca="false">+H28/(I28-H28)</f>
        <v>15.6713286713287</v>
      </c>
      <c r="K28" s="12"/>
      <c r="L28" s="1" t="s">
        <v>37</v>
      </c>
      <c r="M28" s="25" t="n">
        <v>100331.25</v>
      </c>
      <c r="N28" s="25" t="n">
        <v>134423.48</v>
      </c>
      <c r="O28" s="39" t="n">
        <v>99460.87</v>
      </c>
    </row>
    <row r="29" customFormat="false" ht="16.5" hidden="false" customHeight="true" outlineLevel="0" collapsed="false">
      <c r="A29" s="4" t="s">
        <v>16</v>
      </c>
      <c r="B29" s="4"/>
      <c r="C29" s="6"/>
      <c r="D29" s="6"/>
      <c r="E29" s="40"/>
      <c r="F29" s="41"/>
      <c r="G29" s="41"/>
      <c r="H29" s="10" t="n">
        <f aca="false">SUM(H4:H24)</f>
        <v>32992.2407253849</v>
      </c>
      <c r="I29" s="42" t="n">
        <f aca="false">SUM(I4:I22)+I26</f>
        <v>145605.2187331</v>
      </c>
      <c r="J29" s="11" t="n">
        <f aca="false">+H29/(I29-H29)</f>
        <v>0.292970147038689</v>
      </c>
      <c r="K29" s="12"/>
      <c r="L29" s="43" t="s">
        <v>38</v>
      </c>
      <c r="M29" s="43" t="n">
        <f aca="false">+SUM(I4:I25)+I26</f>
        <v>145621.3052134</v>
      </c>
    </row>
    <row r="30" customFormat="false" ht="15.75" hidden="false" customHeight="true" outlineLevel="0" collapsed="false">
      <c r="A30" s="44"/>
      <c r="B30" s="44"/>
      <c r="C30" s="6"/>
      <c r="D30" s="6"/>
      <c r="E30" s="40"/>
      <c r="F30" s="41"/>
      <c r="G30" s="41"/>
      <c r="H30" s="45"/>
      <c r="I30" s="10"/>
      <c r="J30" s="46"/>
      <c r="K30" s="12"/>
      <c r="L30" s="43" t="s">
        <v>39</v>
      </c>
      <c r="M30" s="43" t="n">
        <f aca="false">+SUM(I3)+E27</f>
        <v>41720</v>
      </c>
    </row>
    <row r="31" customFormat="false" ht="15.75" hidden="false" customHeight="true" outlineLevel="0" collapsed="false">
      <c r="A31" s="47" t="s">
        <v>40</v>
      </c>
      <c r="B31" s="47"/>
      <c r="C31" s="48"/>
      <c r="D31" s="48"/>
      <c r="E31" s="49"/>
      <c r="F31" s="50"/>
      <c r="G31" s="50"/>
      <c r="H31" s="51" t="n">
        <f aca="false">SUM(H4:H24)</f>
        <v>32992.2407253849</v>
      </c>
      <c r="I31" s="52" t="n">
        <f aca="false">SUM(I4:I25)+E26</f>
        <v>145621.3052134</v>
      </c>
      <c r="J31" s="53" t="n">
        <f aca="false">(H31)/(I31-H31)</f>
        <v>0.29292830296833</v>
      </c>
      <c r="K31" s="12"/>
    </row>
    <row r="32" customFormat="false" ht="15.75" hidden="false" customHeight="true" outlineLevel="0" collapsed="false">
      <c r="A32" s="54" t="s">
        <v>41</v>
      </c>
      <c r="B32" s="54"/>
      <c r="C32" s="55"/>
      <c r="D32" s="56"/>
      <c r="E32" s="57"/>
      <c r="F32" s="58"/>
      <c r="G32" s="58"/>
      <c r="H32" s="59" t="n">
        <f aca="false">SUM(H3:H24)</f>
        <v>72209.7407253849</v>
      </c>
      <c r="I32" s="59" t="n">
        <f aca="false">SUM(I3:I25)+E26+E27</f>
        <v>187341.3052134</v>
      </c>
      <c r="J32" s="60" t="n">
        <f aca="false">(H32)/(I32-H32)</f>
        <v>0.627193255355283</v>
      </c>
      <c r="K32" s="12"/>
      <c r="L32" s="1" t="s">
        <v>42</v>
      </c>
      <c r="M32" s="39"/>
    </row>
    <row r="33" customFormat="false" ht="15.75" hidden="false" customHeight="true" outlineLevel="0" collapsed="false">
      <c r="A33" s="44"/>
      <c r="B33" s="54"/>
      <c r="C33" s="55"/>
      <c r="D33" s="56"/>
      <c r="E33" s="57"/>
      <c r="F33" s="58"/>
      <c r="G33" s="58"/>
      <c r="H33" s="59"/>
      <c r="I33" s="59"/>
      <c r="J33" s="60"/>
      <c r="K33" s="12"/>
      <c r="M33" s="39"/>
    </row>
    <row r="34" customFormat="false" ht="16.5" hidden="false" customHeight="true" outlineLevel="0" collapsed="false">
      <c r="A34" s="61" t="s">
        <v>43</v>
      </c>
      <c r="B34" s="62" t="n">
        <v>16434.0224491589</v>
      </c>
      <c r="C34" s="63" t="n">
        <v>0.0883148950183998</v>
      </c>
      <c r="D34" s="64"/>
      <c r="E34" s="65"/>
      <c r="F34" s="66"/>
      <c r="G34" s="66"/>
      <c r="H34" s="67" t="n">
        <f aca="false">520 +159.13-5404.92148-1561.12-2462.07-444.5-358.8-1525.05-384.47+3211.9-1500.86-284-302-406+3572.16-3239.8884-309.26-1067.48-20.32-1114.33-361.3225-90-99-666.20554+279.71+101.3+143.21-108.61-18+146.42-247.0699+96.88+849.3-145.58-4438.56+0.25+1122.28+1139.58+4608.36+9.38-15.36-103.5+3317.61+555.53+3420.84+1420.08+315.08+4832.5+5969.61+3.3+7179.9+4628.23+2886.4+107.41-252.08+2698.9-329.67+1892.56-164.95+4631+5094.54+76.68+2545.7+1847.9+4280.89+80.72+1248.7+1980.34+7.92+80.75+1666.02+666.6+284.09+1212.57+2663.78+526.68-136.34+598.56-815.32+220-761.28-2001.19+434.65+2625.44-55.26+796.33+350.8+882.85-335.99+134.55+737.64-639.94+10101.07+767.78-269.25-77.05-3.19+332.25-226.8+1661.8+22483.59+11790-6.11-930.34</f>
        <v>104316.96218</v>
      </c>
      <c r="I34" s="67"/>
      <c r="J34" s="63"/>
      <c r="K34" s="12"/>
    </row>
    <row r="35" customFormat="false" ht="16.5" hidden="false" customHeight="true" outlineLevel="0" collapsed="false">
      <c r="A35" s="68"/>
      <c r="B35" s="68"/>
      <c r="D35" s="69"/>
      <c r="E35" s="70" t="s">
        <v>44</v>
      </c>
      <c r="F35" s="70"/>
      <c r="G35" s="70"/>
      <c r="H35" s="71" t="s">
        <v>45</v>
      </c>
      <c r="I35" s="71"/>
      <c r="J35" s="71"/>
    </row>
    <row r="36" customFormat="false" ht="16.5" hidden="false" customHeight="true" outlineLevel="0" collapsed="false">
      <c r="A36" s="72"/>
      <c r="B36" s="68"/>
      <c r="D36" s="73"/>
      <c r="E36" s="74"/>
      <c r="F36" s="21"/>
      <c r="G36" s="75"/>
      <c r="H36" s="21"/>
      <c r="I36" s="21"/>
      <c r="J36" s="75"/>
    </row>
    <row r="37" customFormat="false" ht="16.5" hidden="false" customHeight="true" outlineLevel="0" collapsed="false">
      <c r="A37" s="72"/>
      <c r="B37" s="68"/>
      <c r="D37" s="73"/>
      <c r="E37" s="74"/>
      <c r="F37" s="21"/>
      <c r="G37" s="75"/>
      <c r="H37" s="21"/>
      <c r="I37" s="21"/>
      <c r="J37" s="75"/>
    </row>
    <row r="38" customFormat="false" ht="16.5" hidden="false" customHeight="true" outlineLevel="0" collapsed="false">
      <c r="A38" s="72"/>
      <c r="B38" s="68"/>
      <c r="D38" s="73"/>
      <c r="E38" s="74"/>
      <c r="F38" s="21"/>
      <c r="G38" s="75"/>
      <c r="H38" s="21"/>
      <c r="I38" s="21"/>
      <c r="J38" s="75"/>
    </row>
    <row r="39" customFormat="false" ht="16.5" hidden="false" customHeight="true" outlineLevel="0" collapsed="false">
      <c r="A39" s="72"/>
      <c r="B39" s="68"/>
      <c r="D39" s="73"/>
      <c r="E39" s="74"/>
      <c r="F39" s="21"/>
      <c r="G39" s="75"/>
      <c r="H39" s="21"/>
      <c r="I39" s="21"/>
      <c r="J39" s="75"/>
    </row>
    <row r="40" customFormat="false" ht="16.5" hidden="false" customHeight="true" outlineLevel="0" collapsed="false">
      <c r="A40" s="72"/>
      <c r="B40" s="68"/>
      <c r="D40" s="73"/>
      <c r="E40" s="74"/>
      <c r="F40" s="21"/>
      <c r="G40" s="75"/>
      <c r="H40" s="21"/>
      <c r="I40" s="21"/>
      <c r="J40" s="75"/>
    </row>
    <row r="41" customFormat="false" ht="16.5" hidden="false" customHeight="true" outlineLevel="0" collapsed="false">
      <c r="A41" s="72"/>
      <c r="B41" s="68"/>
      <c r="D41" s="73"/>
      <c r="E41" s="74"/>
      <c r="F41" s="21"/>
      <c r="G41" s="75"/>
      <c r="H41" s="21"/>
      <c r="I41" s="21"/>
      <c r="J41" s="75"/>
    </row>
    <row r="42" customFormat="false" ht="16.5" hidden="false" customHeight="true" outlineLevel="0" collapsed="false">
      <c r="A42" s="72"/>
      <c r="B42" s="68"/>
      <c r="D42" s="73"/>
      <c r="E42" s="74"/>
      <c r="F42" s="21"/>
      <c r="G42" s="75"/>
      <c r="H42" s="21"/>
      <c r="I42" s="21"/>
      <c r="J42" s="75"/>
    </row>
    <row r="43" customFormat="false" ht="16.5" hidden="false" customHeight="true" outlineLevel="0" collapsed="false">
      <c r="A43" s="72"/>
      <c r="B43" s="68"/>
      <c r="D43" s="73"/>
      <c r="E43" s="74"/>
      <c r="F43" s="21"/>
      <c r="G43" s="75"/>
      <c r="H43" s="21"/>
      <c r="I43" s="21"/>
      <c r="J43" s="75"/>
    </row>
    <row r="44" customFormat="false" ht="16.5" hidden="false" customHeight="true" outlineLevel="0" collapsed="false">
      <c r="A44" s="72"/>
      <c r="B44" s="68"/>
      <c r="D44" s="73"/>
      <c r="E44" s="74"/>
      <c r="F44" s="21"/>
      <c r="G44" s="75"/>
      <c r="H44" s="21"/>
      <c r="I44" s="21"/>
      <c r="J44" s="75"/>
    </row>
    <row r="45" customFormat="false" ht="16.5" hidden="false" customHeight="true" outlineLevel="0" collapsed="false">
      <c r="A45" s="72"/>
      <c r="B45" s="68"/>
      <c r="D45" s="73"/>
      <c r="E45" s="74"/>
      <c r="F45" s="21"/>
      <c r="G45" s="75"/>
      <c r="H45" s="21"/>
      <c r="I45" s="21"/>
      <c r="J45" s="75"/>
    </row>
    <row r="46" customFormat="false" ht="16.5" hidden="false" customHeight="true" outlineLevel="0" collapsed="false">
      <c r="A46" s="72"/>
      <c r="B46" s="68"/>
      <c r="D46" s="73"/>
      <c r="E46" s="74"/>
      <c r="F46" s="21"/>
      <c r="G46" s="75"/>
      <c r="H46" s="21"/>
      <c r="I46" s="21"/>
      <c r="J46" s="75"/>
    </row>
    <row r="47" customFormat="false" ht="16.5" hidden="false" customHeight="true" outlineLevel="0" collapsed="false">
      <c r="A47" s="72"/>
      <c r="B47" s="68"/>
      <c r="D47" s="73"/>
      <c r="E47" s="74"/>
      <c r="F47" s="21"/>
      <c r="G47" s="75"/>
      <c r="H47" s="21"/>
      <c r="I47" s="21"/>
      <c r="J47" s="75"/>
    </row>
    <row r="48" customFormat="false" ht="16.5" hidden="false" customHeight="true" outlineLevel="0" collapsed="false">
      <c r="A48" s="72"/>
      <c r="B48" s="68"/>
      <c r="D48" s="73"/>
      <c r="E48" s="74"/>
      <c r="F48" s="21"/>
      <c r="G48" s="75"/>
      <c r="H48" s="21"/>
      <c r="I48" s="21"/>
      <c r="J48" s="75"/>
    </row>
    <row r="49" customFormat="false" ht="16.5" hidden="false" customHeight="true" outlineLevel="0" collapsed="false">
      <c r="A49" s="72"/>
      <c r="B49" s="68"/>
      <c r="D49" s="73"/>
      <c r="E49" s="74"/>
      <c r="F49" s="21"/>
      <c r="G49" s="75"/>
      <c r="H49" s="21"/>
      <c r="I49" s="21"/>
      <c r="J49" s="75"/>
    </row>
    <row r="50" customFormat="false" ht="16.5" hidden="false" customHeight="true" outlineLevel="0" collapsed="false">
      <c r="A50" s="72" t="n">
        <v>45975</v>
      </c>
      <c r="B50" s="68"/>
      <c r="D50" s="73" t="n">
        <v>0.701388888888889</v>
      </c>
      <c r="E50" s="74" t="n">
        <v>32992.2407253849</v>
      </c>
      <c r="F50" s="21" t="n">
        <v>145621.3052134</v>
      </c>
      <c r="G50" s="75" t="n">
        <v>0.29292830296833</v>
      </c>
      <c r="H50" s="21" t="n">
        <v>72209.7407253849</v>
      </c>
      <c r="I50" s="21" t="n">
        <v>187341.3052134</v>
      </c>
      <c r="J50" s="75" t="n">
        <v>0.627193255355283</v>
      </c>
    </row>
    <row r="51" customFormat="false" ht="16.5" hidden="false" customHeight="true" outlineLevel="0" collapsed="false">
      <c r="A51" s="72" t="n">
        <v>45974</v>
      </c>
      <c r="B51" s="68"/>
      <c r="D51" s="73" t="n">
        <v>0.727255231481482</v>
      </c>
      <c r="E51" s="74" t="n">
        <v>35047.5566134507</v>
      </c>
      <c r="F51" s="21" t="n">
        <v>147611.6780357</v>
      </c>
      <c r="G51" s="75" t="n">
        <v>0.311356373333033</v>
      </c>
      <c r="H51" s="21" t="n">
        <v>75013.4966134507</v>
      </c>
      <c r="I51" s="21" t="n">
        <v>190080.1180357</v>
      </c>
      <c r="J51" s="75" t="n">
        <v>0.651913610448165</v>
      </c>
    </row>
    <row r="52" customFormat="false" ht="16.5" hidden="false" customHeight="true" outlineLevel="0" collapsed="false">
      <c r="A52" s="72" t="n">
        <v>45973</v>
      </c>
      <c r="B52" s="68"/>
      <c r="D52" s="73" t="n">
        <v>0.591458078703704</v>
      </c>
      <c r="E52" s="74" t="n">
        <v>35047.5566134507</v>
      </c>
      <c r="F52" s="21" t="n">
        <v>147566.0080357</v>
      </c>
      <c r="G52" s="75" t="n">
        <v>0.311482749455263</v>
      </c>
      <c r="H52" s="21" t="n">
        <v>75013.4966134507</v>
      </c>
      <c r="I52" s="21" t="n">
        <v>190034.4480357</v>
      </c>
      <c r="J52" s="75" t="n">
        <v>0.652172458025245</v>
      </c>
    </row>
    <row r="53" customFormat="false" ht="16.5" hidden="false" customHeight="true" outlineLevel="0" collapsed="false">
      <c r="A53" s="72" t="n">
        <v>45972</v>
      </c>
      <c r="B53" s="68"/>
      <c r="D53" s="73" t="n">
        <v>0.563480983796296</v>
      </c>
      <c r="E53" s="74" t="n">
        <v>36279.5263805507</v>
      </c>
      <c r="F53" s="21" t="n">
        <v>148797.9641324</v>
      </c>
      <c r="G53" s="75" t="n">
        <v>0.322431835221196</v>
      </c>
      <c r="H53" s="21" t="n">
        <v>75762.8863805507</v>
      </c>
      <c r="I53" s="21" t="n">
        <v>190783.8241324</v>
      </c>
      <c r="J53" s="75" t="n">
        <v>0.658687782080203</v>
      </c>
    </row>
    <row r="54" customFormat="false" ht="16.5" hidden="false" customHeight="true" outlineLevel="0" collapsed="false">
      <c r="A54" s="72" t="n">
        <v>45971</v>
      </c>
      <c r="B54" s="68"/>
      <c r="D54" s="73" t="n">
        <v>0.557672916666667</v>
      </c>
      <c r="E54" s="74" t="n">
        <v>38305.7844609507</v>
      </c>
      <c r="F54" s="21" t="n">
        <v>150824.3480232</v>
      </c>
      <c r="G54" s="75" t="n">
        <v>0.340439686112404</v>
      </c>
      <c r="H54" s="21" t="n">
        <v>77238.5244609507</v>
      </c>
      <c r="I54" s="21" t="n">
        <v>192259.5880232</v>
      </c>
      <c r="J54" s="75" t="n">
        <v>0.67151634725712</v>
      </c>
    </row>
    <row r="55" customFormat="false" ht="16.5" hidden="false" customHeight="true" outlineLevel="0" collapsed="false">
      <c r="A55" s="72" t="n">
        <v>45968</v>
      </c>
      <c r="B55" s="68"/>
      <c r="D55" s="73" t="n">
        <v>0.657452175925926</v>
      </c>
      <c r="E55" s="74" t="n">
        <v>34438.4598644507</v>
      </c>
      <c r="F55" s="21" t="n">
        <v>146949.3706027</v>
      </c>
      <c r="G55" s="75" t="n">
        <v>0.306089957307074</v>
      </c>
      <c r="H55" s="21" t="n">
        <v>73131.7998644507</v>
      </c>
      <c r="I55" s="21" t="n">
        <v>188145.2106027</v>
      </c>
      <c r="J55" s="75" t="n">
        <v>0.635854544222552</v>
      </c>
    </row>
    <row r="56" customFormat="false" ht="16.5" hidden="false" customHeight="true" outlineLevel="0" collapsed="false">
      <c r="A56" s="72" t="n">
        <v>45967</v>
      </c>
      <c r="B56" s="68"/>
      <c r="D56" s="73" t="n">
        <v>0.665563194444445</v>
      </c>
      <c r="E56" s="74" t="n">
        <v>32966.062932635</v>
      </c>
      <c r="F56" s="21" t="n">
        <v>146402.4239542</v>
      </c>
      <c r="G56" s="75" t="n">
        <v>0.290612839091056</v>
      </c>
      <c r="H56" s="21" t="n">
        <v>71709.802932635</v>
      </c>
      <c r="I56" s="21" t="n">
        <v>187648.6639542</v>
      </c>
      <c r="J56" s="75" t="n">
        <v>0.6185139503768</v>
      </c>
    </row>
    <row r="57" customFormat="false" ht="16.5" hidden="false" customHeight="true" outlineLevel="0" collapsed="false">
      <c r="A57" s="72" t="n">
        <v>45966</v>
      </c>
      <c r="B57" s="68"/>
      <c r="D57" s="73" t="n">
        <v>0.603534375</v>
      </c>
      <c r="E57" s="74" t="n">
        <v>75943.3208861297</v>
      </c>
      <c r="F57" s="21" t="n">
        <v>191687.0751613</v>
      </c>
      <c r="G57" s="75" t="n">
        <v>0.656133208756831</v>
      </c>
      <c r="H57" s="21" t="n">
        <v>75943.3208861297</v>
      </c>
      <c r="I57" s="21" t="n">
        <v>191687.0751613</v>
      </c>
      <c r="J57" s="75" t="n">
        <v>0.656133208756831</v>
      </c>
    </row>
    <row r="58" customFormat="false" ht="16.5" hidden="false" customHeight="true" outlineLevel="0" collapsed="false">
      <c r="A58" s="72" t="n">
        <v>45965</v>
      </c>
      <c r="B58" s="68"/>
      <c r="D58" s="73" t="n">
        <v>0.754258425925926</v>
      </c>
      <c r="E58" s="74" t="n">
        <v>36418.1437691297</v>
      </c>
      <c r="F58" s="21" t="n">
        <v>149659.4723771</v>
      </c>
      <c r="G58" s="75" t="n">
        <v>0.321597637689377</v>
      </c>
      <c r="H58" s="21" t="n">
        <v>76169.8837691297</v>
      </c>
      <c r="I58" s="21" t="n">
        <v>191913.7123771</v>
      </c>
      <c r="J58" s="75" t="n">
        <v>0.658090238462048</v>
      </c>
    </row>
    <row r="59" customFormat="false" ht="16.5" hidden="false" customHeight="true" outlineLevel="0" collapsed="false">
      <c r="A59" s="72" t="n">
        <v>45964</v>
      </c>
      <c r="B59" s="68"/>
      <c r="D59" s="73" t="n">
        <v>0.674125601851852</v>
      </c>
      <c r="E59" s="74" t="n">
        <v>39368.4893317297</v>
      </c>
      <c r="F59" s="21" t="n">
        <v>152663.2417751</v>
      </c>
      <c r="G59" s="75" t="n">
        <v>0.347487315014063</v>
      </c>
      <c r="H59" s="21" t="n">
        <v>79434.4701323297</v>
      </c>
      <c r="I59" s="21" t="n">
        <v>195184.6017751</v>
      </c>
      <c r="J59" s="75" t="n">
        <v>0.686258140746496</v>
      </c>
    </row>
    <row r="60" customFormat="false" ht="16.5" hidden="false" customHeight="true" outlineLevel="0" collapsed="false">
      <c r="A60" s="72" t="n">
        <v>45961</v>
      </c>
      <c r="B60" s="68"/>
      <c r="D60" s="73" t="n">
        <v>0.73384400462963</v>
      </c>
      <c r="E60" s="74" t="n">
        <v>38754.3426877297</v>
      </c>
      <c r="F60" s="21" t="n">
        <v>152029.5669759</v>
      </c>
      <c r="G60" s="75" t="n">
        <v>0.342125499474971</v>
      </c>
      <c r="H60" s="21" t="n">
        <v>79214.0091035297</v>
      </c>
      <c r="I60" s="21" t="n">
        <v>194908.7669759</v>
      </c>
      <c r="J60" s="75" t="n">
        <v>0.684681056949143</v>
      </c>
    </row>
    <row r="61" customFormat="false" ht="16.5" hidden="false" customHeight="true" outlineLevel="0" collapsed="false">
      <c r="A61" s="72" t="n">
        <v>45960</v>
      </c>
      <c r="B61" s="68"/>
      <c r="D61" s="73" t="n">
        <v>0.5528340625</v>
      </c>
      <c r="E61" s="74" t="n">
        <v>38064.3062022849</v>
      </c>
      <c r="F61" s="21" t="n">
        <v>151211.5863366</v>
      </c>
      <c r="G61" s="75" t="n">
        <v>0.336413797637021</v>
      </c>
      <c r="H61" s="21" t="n">
        <v>78423.7831276849</v>
      </c>
      <c r="I61" s="21" t="n">
        <v>193955.9663366</v>
      </c>
      <c r="J61" s="75" t="n">
        <v>0.678804649487773</v>
      </c>
    </row>
    <row r="62" customFormat="false" ht="16.5" hidden="false" customHeight="true" outlineLevel="0" collapsed="false">
      <c r="A62" s="72" t="n">
        <v>45959</v>
      </c>
      <c r="B62" s="68"/>
      <c r="D62" s="73" t="n">
        <v>0.543950439814815</v>
      </c>
      <c r="E62" s="74" t="n">
        <v>43911.8783143849</v>
      </c>
      <c r="F62" s="21" t="n">
        <v>157103.6084863</v>
      </c>
      <c r="G62" s="75" t="n">
        <v>0.387942460528624</v>
      </c>
      <c r="H62" s="21" t="n">
        <v>84141.8265941849</v>
      </c>
      <c r="I62" s="21" t="n">
        <v>199674.1084863</v>
      </c>
      <c r="J62" s="75" t="n">
        <v>0.728297106368565</v>
      </c>
    </row>
    <row r="63" customFormat="false" ht="16.5" hidden="false" customHeight="true" outlineLevel="0" collapsed="false">
      <c r="A63" s="72" t="n">
        <v>45958</v>
      </c>
      <c r="B63" s="68"/>
      <c r="D63" s="73" t="n">
        <v>0.737712708333333</v>
      </c>
      <c r="E63" s="74" t="n">
        <v>42819.9941540849</v>
      </c>
      <c r="F63" s="21" t="n">
        <v>155912.9808716</v>
      </c>
      <c r="G63" s="75" t="n">
        <v>0.378626432963886</v>
      </c>
      <c r="H63" s="21" t="n">
        <v>85766.1707894849</v>
      </c>
      <c r="I63" s="21" t="n">
        <v>201261.7808716</v>
      </c>
      <c r="J63" s="75" t="n">
        <v>0.742592473675032</v>
      </c>
    </row>
    <row r="64" customFormat="false" ht="16.5" hidden="false" customHeight="true" outlineLevel="0" collapsed="false">
      <c r="A64" s="72" t="n">
        <v>45957</v>
      </c>
      <c r="B64" s="68"/>
      <c r="D64" s="73" t="n">
        <v>0.558013854166667</v>
      </c>
      <c r="E64" s="74" t="n">
        <v>41071.6324814849</v>
      </c>
      <c r="F64" s="21" t="n">
        <v>154109.1281198</v>
      </c>
      <c r="G64" s="75" t="n">
        <v>0.363345209034897</v>
      </c>
      <c r="H64" s="21" t="n">
        <v>83696.6618120849</v>
      </c>
      <c r="I64" s="21" t="n">
        <v>199192.0681198</v>
      </c>
      <c r="J64" s="75" t="n">
        <v>0.724675244564198</v>
      </c>
    </row>
    <row r="65" customFormat="false" ht="16.5" hidden="false" customHeight="true" outlineLevel="0" collapsed="false">
      <c r="A65" s="72" t="n">
        <v>45954</v>
      </c>
      <c r="B65" s="68"/>
      <c r="D65" s="73" t="n">
        <v>0.720949768518518</v>
      </c>
      <c r="E65" s="74" t="n">
        <v>39375.7642019849</v>
      </c>
      <c r="F65" s="21" t="n">
        <v>152301.6996427</v>
      </c>
      <c r="G65" s="75" t="n">
        <v>0.348686632953833</v>
      </c>
      <c r="H65" s="21" t="n">
        <v>81421.4150477849</v>
      </c>
      <c r="I65" s="21" t="n">
        <v>196845.3596427</v>
      </c>
      <c r="J65" s="75" t="n">
        <v>0.705411821901742</v>
      </c>
    </row>
    <row r="66" customFormat="false" ht="16.5" hidden="false" customHeight="true" outlineLevel="0" collapsed="false">
      <c r="A66" s="72" t="n">
        <v>45952</v>
      </c>
      <c r="B66" s="68"/>
      <c r="D66" s="73" t="n">
        <v>0.555877974537037</v>
      </c>
      <c r="E66" s="74" t="n">
        <v>37852.3841261849</v>
      </c>
      <c r="F66" s="21" t="n">
        <v>150561.3807398</v>
      </c>
      <c r="G66" s="75" t="n">
        <v>0.335841727488259</v>
      </c>
      <c r="H66" s="21" t="n">
        <v>79899.8345117849</v>
      </c>
      <c r="I66" s="21" t="n">
        <v>195176.8607398</v>
      </c>
      <c r="J66" s="75" t="n">
        <v>0.693111516892749</v>
      </c>
    </row>
    <row r="67" customFormat="false" ht="16.5" hidden="false" customHeight="true" outlineLevel="0" collapsed="false">
      <c r="A67" s="72" t="n">
        <v>45951</v>
      </c>
      <c r="B67" s="68"/>
      <c r="D67" s="73" t="n">
        <v>0.574161481481482</v>
      </c>
      <c r="E67" s="74" t="n">
        <v>38470.0015376849</v>
      </c>
      <c r="F67" s="21" t="n">
        <v>151184.7454865</v>
      </c>
      <c r="G67" s="75" t="n">
        <v>0.341304076023581</v>
      </c>
      <c r="H67" s="21" t="n">
        <v>80965.3604616849</v>
      </c>
      <c r="I67" s="21" t="n">
        <v>196236.1854865</v>
      </c>
      <c r="J67" s="75" t="n">
        <v>0.702392478272407</v>
      </c>
    </row>
    <row r="68" customFormat="false" ht="16.5" hidden="false" customHeight="true" outlineLevel="0" collapsed="false">
      <c r="A68" s="72" t="n">
        <v>45950</v>
      </c>
      <c r="B68" s="68"/>
      <c r="D68" s="73" t="n">
        <v>0.570187013888889</v>
      </c>
      <c r="E68" s="74" t="n">
        <v>38732.3982122849</v>
      </c>
      <c r="F68" s="21" t="n">
        <v>151480.4879191</v>
      </c>
      <c r="G68" s="75" t="n">
        <v>0.343530416462068</v>
      </c>
      <c r="H68" s="21" t="n">
        <v>79478.1712814848</v>
      </c>
      <c r="I68" s="21" t="n">
        <v>194749.0279191</v>
      </c>
      <c r="J68" s="75" t="n">
        <v>0.689490592850765</v>
      </c>
    </row>
    <row r="69" customFormat="false" ht="16.5" hidden="false" customHeight="true" outlineLevel="0" collapsed="false">
      <c r="A69" s="72" t="n">
        <v>45947</v>
      </c>
      <c r="B69" s="68"/>
      <c r="D69" s="73" t="n">
        <v>0.66952931712963</v>
      </c>
      <c r="E69" s="74" t="n">
        <v>37882.8280602849</v>
      </c>
      <c r="F69" s="21" t="n">
        <v>150631.3858205</v>
      </c>
      <c r="G69" s="75" t="n">
        <v>0.335993903716721</v>
      </c>
      <c r="H69" s="21" t="n">
        <v>77351.4167940849</v>
      </c>
      <c r="I69" s="21" t="n">
        <v>192622.2858205</v>
      </c>
      <c r="J69" s="75" t="n">
        <v>0.671040458421106</v>
      </c>
    </row>
    <row r="70" customFormat="false" ht="16.5" hidden="false" customHeight="true" outlineLevel="0" collapsed="false">
      <c r="A70" s="72" t="n">
        <v>45946</v>
      </c>
      <c r="B70" s="68"/>
      <c r="D70" s="73" t="n">
        <v>0.694681643518519</v>
      </c>
      <c r="E70" s="74" t="n">
        <v>37572.8097917849</v>
      </c>
      <c r="F70" s="21" t="n">
        <v>150322.8908052</v>
      </c>
      <c r="G70" s="75" t="n">
        <v>0.333239758713028</v>
      </c>
      <c r="H70" s="21" t="n">
        <v>76558.0218963849</v>
      </c>
      <c r="I70" s="21" t="n">
        <v>191806.0108052</v>
      </c>
      <c r="J70" s="75" t="n">
        <v>0.664289438984987</v>
      </c>
    </row>
    <row r="71" customFormat="false" ht="16.5" hidden="false" customHeight="true" outlineLevel="0" collapsed="false">
      <c r="A71" s="72" t="n">
        <v>45945</v>
      </c>
      <c r="B71" s="68"/>
      <c r="D71" s="73" t="n">
        <v>0.701268391203704</v>
      </c>
      <c r="E71" s="74" t="n">
        <v>37269.0475750849</v>
      </c>
      <c r="F71" s="21" t="n">
        <v>149968.3594817</v>
      </c>
      <c r="G71" s="75" t="n">
        <v>0.330694544133213</v>
      </c>
      <c r="H71" s="21" t="n">
        <v>77048.9890208849</v>
      </c>
      <c r="I71" s="21" t="n">
        <v>192296.9394817</v>
      </c>
      <c r="J71" s="75" t="n">
        <v>0.668549754792228</v>
      </c>
    </row>
    <row r="72" customFormat="false" ht="16.5" hidden="false" customHeight="true" outlineLevel="0" collapsed="false">
      <c r="A72" s="72" t="n">
        <v>45944</v>
      </c>
      <c r="B72" s="68"/>
      <c r="D72" s="73" t="n">
        <v>0.608465</v>
      </c>
      <c r="E72" s="74" t="n">
        <v>37318.5425922848</v>
      </c>
      <c r="F72" s="21" t="n">
        <v>149853.6387853</v>
      </c>
      <c r="G72" s="75" t="n">
        <v>0.331616925339254</v>
      </c>
      <c r="H72" s="21" t="n">
        <v>77098.4840380848</v>
      </c>
      <c r="I72" s="21" t="n">
        <v>192182.2187853</v>
      </c>
      <c r="J72" s="75" t="n">
        <v>0.669933802612801</v>
      </c>
    </row>
    <row r="73" customFormat="false" ht="16.5" hidden="false" customHeight="true" outlineLevel="0" collapsed="false">
      <c r="A73" s="72" t="n">
        <v>45943</v>
      </c>
      <c r="B73" s="68"/>
      <c r="D73" s="73" t="n">
        <v>0.725281099537037</v>
      </c>
      <c r="E73" s="74" t="n">
        <v>38995.9796985848</v>
      </c>
      <c r="F73" s="21" t="n">
        <v>151594.7170474</v>
      </c>
      <c r="G73" s="75" t="n">
        <v>0.346326971480868</v>
      </c>
      <c r="H73" s="21" t="n">
        <v>79265.4423001848</v>
      </c>
      <c r="I73" s="21" t="n">
        <v>194349.1770474</v>
      </c>
      <c r="J73" s="75" t="n">
        <v>0.688763207713877</v>
      </c>
    </row>
    <row r="74" customFormat="false" ht="16.5" hidden="false" customHeight="true" outlineLevel="0" collapsed="false">
      <c r="A74" s="72" t="n">
        <v>45940</v>
      </c>
      <c r="B74" s="68"/>
      <c r="D74" s="73" t="n">
        <v>0.71747494212963</v>
      </c>
      <c r="E74" s="74" t="n">
        <v>37493.4946847849</v>
      </c>
      <c r="F74" s="21" t="n">
        <v>149929.8635478</v>
      </c>
      <c r="G74" s="75" t="n">
        <v>0.333464118985062</v>
      </c>
      <c r="H74" s="21" t="n">
        <v>77372.5288005849</v>
      </c>
      <c r="I74" s="21" t="n">
        <v>192456.2635478</v>
      </c>
      <c r="J74" s="75" t="n">
        <v>0.672315066681977</v>
      </c>
    </row>
    <row r="75" customFormat="false" ht="16.5" hidden="false" customHeight="true" outlineLevel="0" collapsed="false">
      <c r="A75" s="72" t="n">
        <v>45939</v>
      </c>
      <c r="B75" s="68"/>
      <c r="D75" s="73" t="n">
        <v>0.633040983796296</v>
      </c>
      <c r="E75" s="74" t="n">
        <v>40688.2584250849</v>
      </c>
      <c r="F75" s="21" t="n">
        <v>153173.5506347</v>
      </c>
      <c r="G75" s="75" t="n">
        <v>0.361720698109249</v>
      </c>
      <c r="H75" s="21" t="n">
        <v>81930.3858874849</v>
      </c>
      <c r="I75" s="21" t="n">
        <v>196954.9106347</v>
      </c>
      <c r="J75" s="75" t="n">
        <v>0.712286236935472</v>
      </c>
    </row>
    <row r="76" customFormat="false" ht="16.5" hidden="false" customHeight="true" outlineLevel="0" collapsed="false">
      <c r="A76" s="72" t="n">
        <v>45938</v>
      </c>
      <c r="B76" s="68"/>
      <c r="D76" s="73" t="n">
        <v>0.673441689814815</v>
      </c>
      <c r="E76" s="74" t="n">
        <v>62341.7674087849</v>
      </c>
      <c r="F76" s="21" t="n">
        <v>150784.2468296</v>
      </c>
      <c r="G76" s="75" t="n">
        <v>0.704884890349565</v>
      </c>
      <c r="H76" s="21" t="n">
        <v>103503.425082385</v>
      </c>
      <c r="I76" s="21" t="n">
        <v>194729.4068296</v>
      </c>
      <c r="J76" s="75" t="n">
        <v>1.13458274824809</v>
      </c>
    </row>
    <row r="77" customFormat="false" ht="16.5" hidden="false" customHeight="true" outlineLevel="0" collapsed="false">
      <c r="A77" s="72" t="n">
        <v>45936</v>
      </c>
      <c r="B77" s="68"/>
      <c r="D77" s="73" t="n">
        <v>0.703263599537037</v>
      </c>
      <c r="E77" s="74" t="n">
        <v>60687.7590013849</v>
      </c>
      <c r="F77" s="21" t="n">
        <v>148773.4483928</v>
      </c>
      <c r="G77" s="75" t="n">
        <v>0.68896275230037</v>
      </c>
      <c r="H77" s="21" t="n">
        <v>101671.056645585</v>
      </c>
      <c r="I77" s="21" t="n">
        <v>192891.2283928</v>
      </c>
      <c r="J77" s="75" t="n">
        <v>1.11456769591852</v>
      </c>
    </row>
    <row r="78" customFormat="false" ht="16.5" hidden="false" customHeight="true" outlineLevel="0" collapsed="false">
      <c r="A78" s="72" t="n">
        <v>45933</v>
      </c>
      <c r="B78" s="68"/>
      <c r="D78" s="73" t="n">
        <v>0.810337291666667</v>
      </c>
      <c r="E78" s="74" t="n">
        <v>61311.1753071849</v>
      </c>
      <c r="F78" s="21" t="n">
        <v>149165.9559658</v>
      </c>
      <c r="G78" s="75" t="n">
        <v>0.697869539341598</v>
      </c>
      <c r="H78" s="21" t="n">
        <v>101967.054218585</v>
      </c>
      <c r="I78" s="21" t="n">
        <v>192855.3359658</v>
      </c>
      <c r="J78" s="75" t="n">
        <v>1.12189439890813</v>
      </c>
    </row>
    <row r="79" customFormat="false" ht="16.5" hidden="false" customHeight="true" outlineLevel="0" collapsed="false">
      <c r="A79" s="72" t="n">
        <v>45932</v>
      </c>
      <c r="B79" s="68"/>
      <c r="D79" s="73" t="n">
        <v>0.658696134259259</v>
      </c>
      <c r="E79" s="74" t="n">
        <v>63071.8666279849</v>
      </c>
      <c r="F79" s="21" t="n">
        <v>150864.235328</v>
      </c>
      <c r="G79" s="75" t="n">
        <v>0.718420832720669</v>
      </c>
      <c r="H79" s="21" t="n">
        <v>104318.323580785</v>
      </c>
      <c r="I79" s="21" t="n">
        <v>195150.855328</v>
      </c>
      <c r="J79" s="75" t="n">
        <v>1.14846874323728</v>
      </c>
    </row>
    <row r="80" customFormat="false" ht="16.5" hidden="false" customHeight="true" outlineLevel="0" collapsed="false">
      <c r="A80" s="72" t="n">
        <v>45931</v>
      </c>
      <c r="B80" s="68"/>
      <c r="D80" s="73" t="n">
        <v>0.790718460648148</v>
      </c>
      <c r="E80" s="74" t="n">
        <v>61801.1568138849</v>
      </c>
      <c r="F80" s="21" t="n">
        <v>149389.750287</v>
      </c>
      <c r="G80" s="75" t="n">
        <v>0.705584532909007</v>
      </c>
      <c r="H80" s="21" t="n">
        <v>101901.902284085</v>
      </c>
      <c r="I80" s="21" t="n">
        <v>192698.610287</v>
      </c>
      <c r="J80" s="75" t="n">
        <v>1.12230833612176</v>
      </c>
    </row>
    <row r="81" customFormat="false" ht="16.5" hidden="false" customHeight="true" outlineLevel="0" collapsed="false">
      <c r="A81" s="72" t="n">
        <v>45930</v>
      </c>
      <c r="B81" s="68"/>
      <c r="D81" s="73" t="n">
        <v>0.610278715277778</v>
      </c>
      <c r="E81" s="74" t="n">
        <v>62525.0838677849</v>
      </c>
      <c r="F81" s="21" t="n">
        <v>149970.8937743</v>
      </c>
      <c r="G81" s="75" t="n">
        <v>0.71501520695649</v>
      </c>
      <c r="H81" s="21" t="n">
        <v>103641.473867785</v>
      </c>
      <c r="I81" s="21" t="n">
        <v>194417.5337743</v>
      </c>
      <c r="J81" s="75" t="n">
        <v>1.14172694843243</v>
      </c>
    </row>
    <row r="82" customFormat="false" ht="16.5" hidden="false" customHeight="true" outlineLevel="0" collapsed="false">
      <c r="A82" s="72" t="n">
        <v>45929</v>
      </c>
      <c r="B82" s="68"/>
      <c r="D82" s="73" t="n">
        <v>0.725694444444444</v>
      </c>
      <c r="E82" s="74" t="n">
        <v>61223.6996885849</v>
      </c>
      <c r="F82" s="21" t="n">
        <v>148599.1595951</v>
      </c>
      <c r="G82" s="75" t="n">
        <v>0.70069673743737</v>
      </c>
      <c r="H82" s="21" t="n">
        <v>103110.159688585</v>
      </c>
      <c r="I82" s="21" t="n">
        <v>193886.2195951</v>
      </c>
      <c r="J82" s="75" t="n">
        <v>1.13587392749555</v>
      </c>
    </row>
    <row r="83" customFormat="false" ht="16.5" hidden="false" customHeight="true" outlineLevel="0" collapsed="false">
      <c r="A83" s="72" t="n">
        <v>45926</v>
      </c>
      <c r="B83" s="68"/>
      <c r="D83" s="73" t="n">
        <v>0.68528755787037</v>
      </c>
      <c r="E83" s="74" t="n">
        <v>59567.6457067849</v>
      </c>
      <c r="F83" s="21" t="n">
        <v>147175.1556133</v>
      </c>
      <c r="G83" s="75" t="n">
        <v>0.679937664822898</v>
      </c>
      <c r="H83" s="21" t="n">
        <v>101805.855706785</v>
      </c>
      <c r="I83" s="21" t="n">
        <v>192581.9156133</v>
      </c>
      <c r="J83" s="75" t="n">
        <v>1.12150555787097</v>
      </c>
    </row>
    <row r="84" customFormat="false" ht="16.5" hidden="false" customHeight="true" outlineLevel="0" collapsed="false">
      <c r="A84" s="72" t="n">
        <v>45925</v>
      </c>
      <c r="B84" s="68"/>
      <c r="D84" s="73" t="n">
        <v>0.731849293981482</v>
      </c>
      <c r="E84" s="74" t="n">
        <v>59572.4716348849</v>
      </c>
      <c r="F84" s="21" t="n">
        <v>147202.4315414</v>
      </c>
      <c r="G84" s="75" t="n">
        <v>0.679818542635847</v>
      </c>
      <c r="H84" s="21" t="n">
        <v>101083.171634885</v>
      </c>
      <c r="I84" s="21" t="n">
        <v>191826.7315414</v>
      </c>
      <c r="J84" s="75" t="n">
        <v>1.1139432014682</v>
      </c>
    </row>
    <row r="85" customFormat="false" ht="16.5" hidden="false" customHeight="true" outlineLevel="0" collapsed="false">
      <c r="A85" s="72" t="n">
        <v>45924</v>
      </c>
      <c r="B85" s="68"/>
      <c r="D85" s="73" t="n">
        <v>0.558706840277778</v>
      </c>
      <c r="E85" s="74" t="n">
        <v>60234.2119204849</v>
      </c>
      <c r="F85" s="21" t="n">
        <v>147976.521827</v>
      </c>
      <c r="G85" s="75" t="n">
        <v>0.686489926976635</v>
      </c>
      <c r="H85" s="21" t="n">
        <v>101745.121920485</v>
      </c>
      <c r="I85" s="21" t="n">
        <v>192488.681827</v>
      </c>
      <c r="J85" s="75" t="n">
        <v>1.12123793716384</v>
      </c>
    </row>
    <row r="86" customFormat="false" ht="16.5" hidden="false" customHeight="true" outlineLevel="0" collapsed="false">
      <c r="A86" s="72" t="n">
        <v>45923</v>
      </c>
      <c r="B86" s="68"/>
      <c r="D86" s="73" t="n">
        <v>0.5625</v>
      </c>
      <c r="E86" s="74" t="n">
        <v>60406.209190842</v>
      </c>
      <c r="F86" s="21" t="n">
        <v>148215.7704429</v>
      </c>
      <c r="G86" s="75" t="n">
        <v>0.687922913285554</v>
      </c>
      <c r="H86" s="21" t="n">
        <v>102976.429190842</v>
      </c>
      <c r="I86" s="21" t="n">
        <v>193800.1904429</v>
      </c>
      <c r="J86" s="75" t="n">
        <v>1.1338049401528</v>
      </c>
    </row>
    <row r="87" customFormat="false" ht="16.5" hidden="false" customHeight="true" outlineLevel="0" collapsed="false">
      <c r="A87" s="72" t="n">
        <v>45922</v>
      </c>
      <c r="B87" s="68"/>
      <c r="D87" s="73" t="n">
        <v>0.61146525462963</v>
      </c>
      <c r="E87" s="74" t="n">
        <v>63295.757818742</v>
      </c>
      <c r="F87" s="21" t="n">
        <v>151100.0690708</v>
      </c>
      <c r="G87" s="75" t="n">
        <v>0.720873006304215</v>
      </c>
      <c r="H87" s="21" t="n">
        <v>106150.527818742</v>
      </c>
      <c r="I87" s="21" t="n">
        <v>196974.2890708</v>
      </c>
      <c r="J87" s="75" t="n">
        <v>1.16875282806389</v>
      </c>
    </row>
    <row r="88" customFormat="false" ht="16.5" hidden="false" customHeight="true" outlineLevel="0" collapsed="false">
      <c r="A88" s="72" t="n">
        <v>45919</v>
      </c>
      <c r="B88" s="68"/>
      <c r="D88" s="73" t="n">
        <v>0.668568368055556</v>
      </c>
      <c r="E88" s="74" t="n">
        <v>61379.365110042</v>
      </c>
      <c r="F88" s="21" t="n">
        <v>149398.9263621</v>
      </c>
      <c r="G88" s="75" t="n">
        <v>0.697337776250355</v>
      </c>
      <c r="H88" s="21" t="n">
        <v>104678.705110042</v>
      </c>
      <c r="I88" s="21" t="n">
        <v>195502.4663621</v>
      </c>
      <c r="J88" s="75" t="n">
        <v>1.15254756758568</v>
      </c>
    </row>
    <row r="89" customFormat="false" ht="16.5" hidden="false" customHeight="true" outlineLevel="0" collapsed="false">
      <c r="A89" s="72" t="n">
        <v>45918</v>
      </c>
      <c r="B89" s="68"/>
      <c r="D89" s="73" t="n">
        <v>0.586119363425926</v>
      </c>
      <c r="E89" s="74" t="n">
        <v>61204.255475042</v>
      </c>
      <c r="F89" s="21" t="n">
        <v>149187.6367271</v>
      </c>
      <c r="G89" s="75" t="n">
        <v>0.695634273246465</v>
      </c>
      <c r="H89" s="21" t="n">
        <v>104714.505475042</v>
      </c>
      <c r="I89" s="21" t="n">
        <v>195487.7367271</v>
      </c>
      <c r="J89" s="75" t="n">
        <v>1.15358354033109</v>
      </c>
    </row>
    <row r="90" customFormat="false" ht="16.5" hidden="false" customHeight="true" outlineLevel="0" collapsed="false">
      <c r="A90" s="72" t="n">
        <v>45917</v>
      </c>
      <c r="B90" s="68"/>
      <c r="D90" s="73" t="n">
        <v>0.611878368055556</v>
      </c>
      <c r="E90" s="74" t="n">
        <v>58518.559257342</v>
      </c>
      <c r="F90" s="21" t="n">
        <v>146530.6405094</v>
      </c>
      <c r="G90" s="75" t="n">
        <v>0.664892346878499</v>
      </c>
      <c r="H90" s="21" t="n">
        <v>101378.369257342</v>
      </c>
      <c r="I90" s="21" t="n">
        <v>192151.6005094</v>
      </c>
      <c r="J90" s="75" t="n">
        <v>1.11683111704855</v>
      </c>
    </row>
    <row r="91" customFormat="false" ht="16.5" hidden="false" customHeight="true" outlineLevel="0" collapsed="false">
      <c r="A91" s="72" t="n">
        <v>45916</v>
      </c>
      <c r="B91" s="68"/>
      <c r="D91" s="73" t="n">
        <v>0.671339351851852</v>
      </c>
      <c r="E91" s="74" t="n">
        <v>60572.189987942</v>
      </c>
      <c r="F91" s="21" t="n">
        <v>149068.32124</v>
      </c>
      <c r="G91" s="75" t="n">
        <v>0.684461446291003</v>
      </c>
      <c r="H91" s="21" t="n">
        <v>102739.209987942</v>
      </c>
      <c r="I91" s="21" t="n">
        <v>193512.44124</v>
      </c>
      <c r="J91" s="75" t="n">
        <v>1.13182276945344</v>
      </c>
    </row>
    <row r="92" customFormat="false" ht="16.5" hidden="false" customHeight="true" outlineLevel="0" collapsed="false">
      <c r="A92" s="72" t="n">
        <v>45915</v>
      </c>
      <c r="B92" s="68"/>
      <c r="D92" s="73" t="n">
        <v>0.559941087962963</v>
      </c>
      <c r="E92" s="74" t="n">
        <v>60812.656930342</v>
      </c>
      <c r="F92" s="21" t="n">
        <v>149451.9381824</v>
      </c>
      <c r="G92" s="75" t="n">
        <v>0.68606893096767</v>
      </c>
      <c r="H92" s="21" t="n">
        <v>102413.446930342</v>
      </c>
      <c r="I92" s="21" t="n">
        <v>193186.6781824</v>
      </c>
      <c r="J92" s="75" t="n">
        <v>1.12823401257978</v>
      </c>
    </row>
    <row r="93" customFormat="false" ht="16.5" hidden="false" customHeight="true" outlineLevel="0" collapsed="false">
      <c r="A93" s="72" t="n">
        <v>45912</v>
      </c>
      <c r="B93" s="68"/>
      <c r="D93" s="73" t="n">
        <v>0.660409548611111</v>
      </c>
      <c r="E93" s="74" t="n">
        <v>60107.246134342</v>
      </c>
      <c r="F93" s="21" t="n">
        <v>148598.8273864</v>
      </c>
      <c r="G93" s="75" t="n">
        <v>0.679242536791535</v>
      </c>
      <c r="H93" s="21" t="n">
        <v>101845.096134342</v>
      </c>
      <c r="I93" s="21" t="n">
        <v>192618.3273864</v>
      </c>
      <c r="J93" s="75" t="n">
        <v>1.12197279671074</v>
      </c>
    </row>
    <row r="94" customFormat="false" ht="16.5" hidden="false" customHeight="true" outlineLevel="0" collapsed="false">
      <c r="A94" s="72" t="n">
        <v>45911</v>
      </c>
      <c r="B94" s="68"/>
      <c r="D94" s="73" t="n">
        <v>0.707651805555556</v>
      </c>
      <c r="E94" s="74" t="n">
        <v>59395.0877304421</v>
      </c>
      <c r="F94" s="21" t="n">
        <v>135239.9689825</v>
      </c>
      <c r="G94" s="75" t="n">
        <v>0.783112673524431</v>
      </c>
      <c r="H94" s="21" t="n">
        <v>101274.477730442</v>
      </c>
      <c r="I94" s="21" t="n">
        <v>191996.4589825</v>
      </c>
      <c r="J94" s="75" t="n">
        <v>1.11631686535885</v>
      </c>
    </row>
    <row r="95" customFormat="false" ht="16.5" hidden="false" customHeight="true" outlineLevel="0" collapsed="false">
      <c r="A95" s="72" t="n">
        <v>45910</v>
      </c>
      <c r="B95" s="68"/>
      <c r="D95" s="73" t="n">
        <v>0.644253981481482</v>
      </c>
      <c r="E95" s="74" t="n">
        <v>59528.4639283421</v>
      </c>
      <c r="F95" s="21" t="n">
        <v>135340.9791554</v>
      </c>
      <c r="G95" s="75" t="n">
        <v>0.785206291468563</v>
      </c>
      <c r="H95" s="21" t="n">
        <v>101706.613928342</v>
      </c>
      <c r="I95" s="21" t="n">
        <v>192396.2291554</v>
      </c>
      <c r="J95" s="75" t="n">
        <v>1.12148026732389</v>
      </c>
    </row>
    <row r="96" customFormat="false" ht="16.5" hidden="false" customHeight="true" outlineLevel="0" collapsed="false">
      <c r="A96" s="72" t="n">
        <v>45909</v>
      </c>
      <c r="B96" s="68"/>
      <c r="D96" s="73" t="n">
        <v>0.661344594907408</v>
      </c>
      <c r="E96" s="74" t="n">
        <v>57423.8158051421</v>
      </c>
      <c r="F96" s="21" t="n">
        <v>145880.1810322</v>
      </c>
      <c r="G96" s="75" t="n">
        <v>0.649176751246124</v>
      </c>
      <c r="H96" s="21" t="n">
        <v>99533.0158051421</v>
      </c>
      <c r="I96" s="21" t="n">
        <v>190491.8810322</v>
      </c>
      <c r="J96" s="75" t="n">
        <v>1.09426404514481</v>
      </c>
    </row>
    <row r="97" customFormat="false" ht="16.5" hidden="false" customHeight="true" outlineLevel="0" collapsed="false">
      <c r="A97" s="72" t="n">
        <v>45908</v>
      </c>
      <c r="B97" s="68"/>
      <c r="D97" s="73" t="n">
        <v>0.561578865740741</v>
      </c>
      <c r="E97" s="74" t="n">
        <v>55446.6103331421</v>
      </c>
      <c r="F97" s="21" t="n">
        <v>143902.9755602</v>
      </c>
      <c r="G97" s="75" t="n">
        <v>0.626824425702058</v>
      </c>
      <c r="H97" s="21" t="n">
        <v>98135.4103331421</v>
      </c>
      <c r="I97" s="21" t="n">
        <v>189094.2755602</v>
      </c>
      <c r="J97" s="75" t="n">
        <v>1.07889879769465</v>
      </c>
    </row>
    <row r="98" customFormat="false" ht="16.5" hidden="false" customHeight="true" outlineLevel="0" collapsed="false">
      <c r="A98" s="72" t="n">
        <v>45905</v>
      </c>
      <c r="B98" s="68"/>
      <c r="D98" s="73" t="n">
        <v>0.668330752314815</v>
      </c>
      <c r="E98" s="74" t="n">
        <v>54786.135149342</v>
      </c>
      <c r="F98" s="21" t="n">
        <v>143242.5003764</v>
      </c>
      <c r="G98" s="75" t="n">
        <v>0.619357747842249</v>
      </c>
      <c r="H98" s="21" t="n">
        <v>96253.995149342</v>
      </c>
      <c r="I98" s="21" t="n">
        <v>187212.8603764</v>
      </c>
      <c r="J98" s="75" t="n">
        <v>1.05821455565728</v>
      </c>
    </row>
    <row r="99" customFormat="false" ht="16.5" hidden="false" customHeight="true" outlineLevel="0" collapsed="false">
      <c r="A99" s="72" t="n">
        <v>45904</v>
      </c>
      <c r="B99" s="68"/>
      <c r="D99" s="73" t="n">
        <v>0.6419625</v>
      </c>
      <c r="E99" s="74" t="n">
        <v>56920.0655436421</v>
      </c>
      <c r="F99" s="21" t="n">
        <v>145334.3507707</v>
      </c>
      <c r="G99" s="75" t="n">
        <v>0.64378810955113</v>
      </c>
      <c r="H99" s="21" t="n">
        <v>97800.7655436421</v>
      </c>
      <c r="I99" s="21" t="n">
        <v>188717.5507707</v>
      </c>
      <c r="J99" s="75" t="n">
        <v>1.07571737495328</v>
      </c>
    </row>
    <row r="100" customFormat="false" ht="16.5" hidden="false" customHeight="true" outlineLevel="0" collapsed="false">
      <c r="A100" s="72" t="n">
        <v>45903</v>
      </c>
      <c r="B100" s="68"/>
      <c r="D100" s="73" t="n">
        <v>0.583812928240741</v>
      </c>
      <c r="E100" s="74" t="n">
        <v>55643.948781842</v>
      </c>
      <c r="F100" s="21" t="n">
        <v>144058.2340089</v>
      </c>
      <c r="G100" s="75" t="n">
        <v>0.629354731975065</v>
      </c>
      <c r="H100" s="21" t="n">
        <v>97052.5887818421</v>
      </c>
      <c r="I100" s="21" t="n">
        <v>187969.3740089</v>
      </c>
      <c r="J100" s="75" t="n">
        <v>1.06748812707643</v>
      </c>
    </row>
    <row r="101" customFormat="false" ht="16.5" hidden="false" customHeight="true" outlineLevel="0" collapsed="false">
      <c r="A101" s="72" t="n">
        <v>45902</v>
      </c>
      <c r="B101" s="68"/>
      <c r="D101" s="73" t="n">
        <v>0.644463043981482</v>
      </c>
      <c r="E101" s="74" t="n">
        <v>55582.6321894421</v>
      </c>
      <c r="F101" s="21" t="n">
        <v>143996.9174165</v>
      </c>
      <c r="G101" s="75" t="n">
        <v>0.628661217434485</v>
      </c>
      <c r="H101" s="21" t="n">
        <v>96629.6521894421</v>
      </c>
      <c r="I101" s="21" t="n">
        <v>187546.4374165</v>
      </c>
      <c r="J101" s="75" t="n">
        <v>1.06283621828595</v>
      </c>
    </row>
    <row r="102" customFormat="false" ht="16.5" hidden="false" customHeight="true" outlineLevel="0" collapsed="false">
      <c r="A102" s="72" t="n">
        <v>45898</v>
      </c>
      <c r="B102" s="68"/>
      <c r="D102" s="73" t="n">
        <v>0.666766759259259</v>
      </c>
      <c r="E102" s="74" t="n">
        <v>57273.2842597849</v>
      </c>
      <c r="F102" s="21" t="n">
        <v>145688.2973213</v>
      </c>
      <c r="G102" s="75" t="n">
        <v>0.647777818230222</v>
      </c>
      <c r="H102" s="21" t="n">
        <v>99715.1242597849</v>
      </c>
      <c r="I102" s="21" t="n">
        <v>190632.6373213</v>
      </c>
      <c r="J102" s="75" t="n">
        <v>1.09676475853796</v>
      </c>
    </row>
    <row r="103" customFormat="false" ht="16.5" hidden="false" customHeight="true" outlineLevel="0" collapsed="false">
      <c r="A103" s="72" t="n">
        <v>45897</v>
      </c>
      <c r="B103" s="68"/>
      <c r="D103" s="73" t="n">
        <v>0.703855104166667</v>
      </c>
      <c r="E103" s="74" t="n">
        <v>60675.5406374849</v>
      </c>
      <c r="F103" s="21" t="n">
        <v>149038.495169</v>
      </c>
      <c r="G103" s="75" t="n">
        <v>0.686662651324596</v>
      </c>
      <c r="H103" s="21" t="n">
        <v>102772.140637485</v>
      </c>
      <c r="I103" s="21" t="n">
        <v>193637.595169</v>
      </c>
      <c r="J103" s="75" t="n">
        <v>1.13103644467921</v>
      </c>
    </row>
    <row r="104" customFormat="false" ht="16.5" hidden="false" customHeight="true" outlineLevel="0" collapsed="false">
      <c r="A104" s="72" t="n">
        <v>45896</v>
      </c>
      <c r="B104" s="68"/>
      <c r="D104" s="73" t="n">
        <v>0.745570034722222</v>
      </c>
      <c r="E104" s="74" t="n">
        <v>60914.8137130849</v>
      </c>
      <c r="F104" s="21" t="n">
        <v>149277.8059846</v>
      </c>
      <c r="G104" s="75" t="n">
        <v>0.689370200659462</v>
      </c>
      <c r="H104" s="21" t="n">
        <v>103312.553713085</v>
      </c>
      <c r="I104" s="21" t="n">
        <v>194178.0459846</v>
      </c>
      <c r="J104" s="75" t="n">
        <v>1.13698337102909</v>
      </c>
    </row>
    <row r="105" customFormat="false" ht="16.5" hidden="false" customHeight="true" outlineLevel="0" collapsed="false">
      <c r="A105" s="72" t="n">
        <v>45895</v>
      </c>
      <c r="B105" s="68"/>
      <c r="D105" s="73" t="n">
        <v>0.589247997685185</v>
      </c>
      <c r="E105" s="74" t="n">
        <v>61258.7031096849</v>
      </c>
      <c r="F105" s="21" t="n">
        <v>149621.6997162</v>
      </c>
      <c r="G105" s="75" t="n">
        <v>0.693261947446995</v>
      </c>
      <c r="H105" s="21" t="n">
        <v>103475.003109685</v>
      </c>
      <c r="I105" s="21" t="n">
        <v>194340.4997162</v>
      </c>
      <c r="J105" s="75" t="n">
        <v>1.13877111746579</v>
      </c>
    </row>
    <row r="106" s="21" customFormat="true" ht="16.5" hidden="false" customHeight="true" outlineLevel="0" collapsed="false">
      <c r="A106" s="72" t="n">
        <v>45894</v>
      </c>
      <c r="B106" s="68"/>
      <c r="C106" s="1"/>
      <c r="D106" s="73" t="n">
        <v>0.554708402777778</v>
      </c>
      <c r="E106" s="74" t="n">
        <v>60482.2012074849</v>
      </c>
      <c r="F106" s="21" t="n">
        <v>148845.148344</v>
      </c>
      <c r="G106" s="75" t="n">
        <v>0.68447469405976</v>
      </c>
      <c r="H106" s="21" t="n">
        <v>103744.301207485</v>
      </c>
      <c r="I106" s="21" t="n">
        <v>194609.748344</v>
      </c>
      <c r="J106" s="75" t="n">
        <v>1.14173543934275</v>
      </c>
      <c r="K106" s="72"/>
      <c r="L106" s="68"/>
      <c r="M106" s="1"/>
      <c r="N106" s="73"/>
      <c r="O106" s="74"/>
      <c r="Q106" s="75"/>
      <c r="T106" s="75"/>
      <c r="U106" s="72"/>
      <c r="V106" s="68"/>
      <c r="W106" s="1"/>
      <c r="X106" s="73"/>
      <c r="Y106" s="74"/>
      <c r="AA106" s="75"/>
      <c r="AD106" s="75"/>
      <c r="AE106" s="72"/>
      <c r="AF106" s="68"/>
      <c r="AG106" s="1"/>
      <c r="AH106" s="73"/>
      <c r="AI106" s="74"/>
      <c r="AK106" s="75"/>
      <c r="AN106" s="75"/>
      <c r="AO106" s="72"/>
      <c r="AP106" s="68"/>
      <c r="AQ106" s="1"/>
      <c r="AR106" s="73"/>
      <c r="AS106" s="74"/>
      <c r="AU106" s="75"/>
      <c r="AX106" s="75"/>
      <c r="AY106" s="72"/>
      <c r="AZ106" s="68"/>
      <c r="BA106" s="1"/>
      <c r="BB106" s="73"/>
      <c r="BC106" s="74"/>
      <c r="BE106" s="75"/>
      <c r="BH106" s="75"/>
      <c r="BI106" s="72"/>
      <c r="BJ106" s="68"/>
      <c r="BK106" s="1"/>
      <c r="BL106" s="73"/>
      <c r="BM106" s="74"/>
      <c r="BO106" s="75"/>
      <c r="BR106" s="75"/>
      <c r="BS106" s="72"/>
      <c r="BT106" s="68"/>
      <c r="BU106" s="1"/>
      <c r="BV106" s="73"/>
      <c r="BW106" s="74"/>
      <c r="BY106" s="75"/>
      <c r="CB106" s="75"/>
      <c r="CC106" s="72"/>
      <c r="CD106" s="68"/>
      <c r="CE106" s="1"/>
      <c r="CF106" s="73"/>
      <c r="CG106" s="74"/>
      <c r="CI106" s="75"/>
      <c r="CL106" s="75"/>
      <c r="CM106" s="72"/>
      <c r="CN106" s="68"/>
      <c r="CO106" s="1"/>
      <c r="CP106" s="73"/>
      <c r="CQ106" s="74"/>
      <c r="CS106" s="75"/>
      <c r="CV106" s="75"/>
      <c r="CW106" s="72"/>
      <c r="CX106" s="68"/>
      <c r="CY106" s="1"/>
      <c r="CZ106" s="73"/>
      <c r="DA106" s="74"/>
      <c r="DC106" s="75"/>
      <c r="DF106" s="75"/>
      <c r="DG106" s="72"/>
      <c r="DH106" s="68"/>
      <c r="DI106" s="1"/>
      <c r="DJ106" s="73"/>
      <c r="DK106" s="74"/>
      <c r="DM106" s="75"/>
      <c r="DP106" s="75"/>
      <c r="DQ106" s="72"/>
      <c r="DR106" s="68"/>
      <c r="DS106" s="1"/>
      <c r="DT106" s="73"/>
      <c r="DU106" s="74"/>
      <c r="DW106" s="75"/>
      <c r="DZ106" s="75"/>
      <c r="EA106" s="72"/>
      <c r="EB106" s="68"/>
      <c r="EC106" s="1"/>
      <c r="ED106" s="73"/>
      <c r="EE106" s="74"/>
      <c r="EG106" s="75"/>
      <c r="EJ106" s="75"/>
      <c r="EK106" s="72"/>
      <c r="EL106" s="68"/>
      <c r="EM106" s="1"/>
      <c r="EN106" s="73"/>
      <c r="EO106" s="74"/>
      <c r="EQ106" s="75"/>
      <c r="ET106" s="75"/>
      <c r="EU106" s="72"/>
      <c r="EV106" s="68"/>
      <c r="EW106" s="1"/>
      <c r="EX106" s="73"/>
      <c r="EY106" s="74"/>
      <c r="FA106" s="75"/>
      <c r="FD106" s="75"/>
      <c r="FE106" s="72"/>
      <c r="FF106" s="68"/>
      <c r="FG106" s="1"/>
      <c r="FH106" s="73"/>
      <c r="FI106" s="74"/>
      <c r="FK106" s="75"/>
      <c r="FN106" s="75"/>
      <c r="FO106" s="72"/>
      <c r="FP106" s="68"/>
      <c r="FQ106" s="1"/>
      <c r="FR106" s="73"/>
      <c r="FS106" s="74"/>
      <c r="FU106" s="75"/>
      <c r="FX106" s="75"/>
      <c r="FY106" s="72"/>
      <c r="FZ106" s="68"/>
      <c r="GA106" s="1"/>
      <c r="GB106" s="73"/>
      <c r="GC106" s="74"/>
      <c r="GE106" s="75"/>
      <c r="GH106" s="75"/>
      <c r="GI106" s="72"/>
      <c r="GJ106" s="68"/>
      <c r="GK106" s="1"/>
      <c r="GL106" s="73"/>
      <c r="GM106" s="74"/>
      <c r="GO106" s="75"/>
      <c r="GR106" s="75"/>
      <c r="GS106" s="72"/>
      <c r="GT106" s="68"/>
      <c r="GU106" s="1"/>
      <c r="GV106" s="73"/>
      <c r="GW106" s="74"/>
      <c r="GY106" s="75"/>
      <c r="HB106" s="75"/>
      <c r="HC106" s="72"/>
      <c r="HD106" s="68"/>
      <c r="HE106" s="1"/>
      <c r="HF106" s="73"/>
      <c r="HG106" s="74"/>
      <c r="HI106" s="75"/>
      <c r="HL106" s="75"/>
      <c r="HM106" s="72"/>
      <c r="HN106" s="68"/>
      <c r="HO106" s="1"/>
      <c r="HP106" s="73"/>
      <c r="HQ106" s="74"/>
      <c r="HS106" s="75"/>
      <c r="HV106" s="75"/>
      <c r="HW106" s="72"/>
      <c r="HX106" s="68"/>
      <c r="HY106" s="1"/>
      <c r="HZ106" s="73"/>
      <c r="IA106" s="74"/>
      <c r="IC106" s="75"/>
      <c r="IF106" s="75"/>
      <c r="IG106" s="72"/>
      <c r="IH106" s="68"/>
      <c r="II106" s="1"/>
      <c r="IJ106" s="73"/>
      <c r="IK106" s="74"/>
      <c r="IM106" s="75"/>
      <c r="IP106" s="75"/>
      <c r="IQ106" s="72"/>
      <c r="IR106" s="68"/>
      <c r="IS106" s="1"/>
      <c r="IT106" s="73"/>
      <c r="IU106" s="74"/>
      <c r="IW106" s="75"/>
      <c r="IZ106" s="75"/>
      <c r="JA106" s="72"/>
      <c r="JB106" s="68"/>
      <c r="JC106" s="1"/>
      <c r="JD106" s="73"/>
      <c r="JE106" s="74"/>
      <c r="JG106" s="75"/>
      <c r="JJ106" s="75"/>
      <c r="JK106" s="72"/>
      <c r="JL106" s="68"/>
      <c r="JM106" s="1"/>
      <c r="JN106" s="73"/>
      <c r="JO106" s="74"/>
      <c r="JQ106" s="75"/>
      <c r="JT106" s="75"/>
      <c r="JU106" s="72"/>
      <c r="JV106" s="68"/>
      <c r="JW106" s="1"/>
      <c r="JX106" s="73"/>
      <c r="JY106" s="74"/>
      <c r="KA106" s="75"/>
      <c r="KD106" s="75"/>
      <c r="KE106" s="72"/>
      <c r="KF106" s="68"/>
      <c r="KG106" s="1"/>
      <c r="KH106" s="73"/>
      <c r="KI106" s="74"/>
      <c r="KK106" s="75"/>
      <c r="KN106" s="75"/>
      <c r="KO106" s="72"/>
      <c r="KP106" s="68"/>
      <c r="KQ106" s="1"/>
      <c r="KR106" s="73"/>
      <c r="KS106" s="74"/>
      <c r="KU106" s="75"/>
      <c r="KX106" s="75"/>
      <c r="KY106" s="72"/>
      <c r="KZ106" s="68"/>
      <c r="LA106" s="1"/>
      <c r="LB106" s="73"/>
      <c r="LC106" s="74"/>
      <c r="LE106" s="75"/>
      <c r="LH106" s="75"/>
      <c r="LI106" s="72"/>
      <c r="LJ106" s="68"/>
      <c r="LK106" s="1"/>
      <c r="LL106" s="73"/>
      <c r="LM106" s="74"/>
      <c r="LO106" s="75"/>
      <c r="LR106" s="75"/>
      <c r="LS106" s="72"/>
      <c r="LT106" s="68"/>
      <c r="LU106" s="1"/>
      <c r="LV106" s="73"/>
      <c r="LW106" s="74"/>
      <c r="LY106" s="75"/>
      <c r="MB106" s="75"/>
      <c r="MC106" s="72"/>
      <c r="MD106" s="68"/>
      <c r="ME106" s="1"/>
      <c r="MF106" s="73"/>
      <c r="MG106" s="74"/>
      <c r="MI106" s="75"/>
      <c r="ML106" s="75"/>
      <c r="MM106" s="72"/>
      <c r="MN106" s="68"/>
      <c r="MO106" s="1"/>
      <c r="MP106" s="73"/>
      <c r="MQ106" s="74"/>
      <c r="MS106" s="75"/>
      <c r="MV106" s="75"/>
      <c r="MW106" s="72"/>
      <c r="MX106" s="68"/>
      <c r="MY106" s="1"/>
      <c r="MZ106" s="73"/>
      <c r="NA106" s="74"/>
      <c r="NC106" s="75"/>
      <c r="NF106" s="75"/>
      <c r="NG106" s="72"/>
      <c r="NH106" s="68"/>
      <c r="NI106" s="1"/>
      <c r="NJ106" s="73"/>
      <c r="NK106" s="74"/>
      <c r="NM106" s="75"/>
      <c r="NP106" s="75"/>
      <c r="NQ106" s="72"/>
      <c r="NR106" s="68"/>
      <c r="NS106" s="1"/>
      <c r="NT106" s="73"/>
      <c r="NU106" s="74"/>
      <c r="NW106" s="75"/>
      <c r="NZ106" s="75"/>
      <c r="OA106" s="72"/>
      <c r="OB106" s="68"/>
      <c r="OC106" s="1"/>
      <c r="OD106" s="73"/>
      <c r="OE106" s="74"/>
      <c r="OG106" s="75"/>
      <c r="OJ106" s="75"/>
      <c r="OK106" s="72"/>
      <c r="OL106" s="68"/>
      <c r="OM106" s="1"/>
      <c r="ON106" s="73"/>
      <c r="OO106" s="74"/>
      <c r="OQ106" s="75"/>
      <c r="OT106" s="75"/>
      <c r="OU106" s="72"/>
      <c r="OV106" s="68"/>
      <c r="OW106" s="1"/>
      <c r="OX106" s="73"/>
      <c r="OY106" s="74"/>
      <c r="PA106" s="75"/>
      <c r="PD106" s="75"/>
      <c r="PE106" s="72"/>
      <c r="PF106" s="68"/>
      <c r="PG106" s="1"/>
      <c r="PH106" s="73"/>
      <c r="PI106" s="74"/>
      <c r="PK106" s="75"/>
      <c r="PN106" s="75"/>
      <c r="PO106" s="72"/>
      <c r="PP106" s="68"/>
      <c r="PQ106" s="1"/>
      <c r="PR106" s="73"/>
      <c r="PS106" s="74"/>
      <c r="PU106" s="75"/>
      <c r="PX106" s="75"/>
      <c r="PY106" s="72"/>
      <c r="PZ106" s="68"/>
      <c r="QA106" s="1"/>
      <c r="QB106" s="73"/>
      <c r="QC106" s="74"/>
      <c r="QE106" s="75"/>
      <c r="QH106" s="75"/>
      <c r="QI106" s="72"/>
      <c r="QJ106" s="68"/>
      <c r="QK106" s="1"/>
      <c r="QL106" s="73"/>
      <c r="QM106" s="74"/>
      <c r="QO106" s="75"/>
      <c r="QR106" s="75"/>
      <c r="QS106" s="72"/>
      <c r="QT106" s="68"/>
      <c r="QU106" s="1"/>
      <c r="QV106" s="73"/>
      <c r="QW106" s="74"/>
      <c r="QY106" s="75"/>
      <c r="RB106" s="75"/>
      <c r="RC106" s="72"/>
      <c r="RD106" s="68"/>
      <c r="RE106" s="1"/>
      <c r="RF106" s="73"/>
      <c r="RG106" s="74"/>
      <c r="RI106" s="75"/>
      <c r="RL106" s="75"/>
      <c r="RM106" s="72"/>
      <c r="RN106" s="68"/>
      <c r="RO106" s="1"/>
      <c r="RP106" s="73"/>
      <c r="RQ106" s="74"/>
      <c r="RS106" s="75"/>
      <c r="RV106" s="75"/>
      <c r="RW106" s="72"/>
      <c r="RX106" s="68"/>
      <c r="RY106" s="1"/>
      <c r="RZ106" s="73"/>
      <c r="SA106" s="74"/>
      <c r="SC106" s="75"/>
      <c r="SF106" s="75"/>
      <c r="SG106" s="72"/>
      <c r="SH106" s="68"/>
      <c r="SI106" s="1"/>
      <c r="SJ106" s="73"/>
      <c r="SK106" s="74"/>
      <c r="SM106" s="75"/>
      <c r="SP106" s="75"/>
      <c r="SQ106" s="72"/>
      <c r="SR106" s="68"/>
      <c r="SS106" s="1"/>
      <c r="ST106" s="73"/>
      <c r="SU106" s="74"/>
      <c r="SW106" s="75"/>
      <c r="SZ106" s="75"/>
      <c r="TA106" s="72"/>
      <c r="TB106" s="68"/>
      <c r="TC106" s="1"/>
      <c r="TD106" s="73"/>
      <c r="TE106" s="74"/>
      <c r="TG106" s="75"/>
      <c r="TJ106" s="75"/>
      <c r="TK106" s="72"/>
      <c r="TL106" s="68"/>
      <c r="TM106" s="1"/>
      <c r="TN106" s="73"/>
      <c r="TO106" s="74"/>
      <c r="TQ106" s="75"/>
      <c r="TT106" s="75"/>
      <c r="TU106" s="72"/>
      <c r="TV106" s="68"/>
      <c r="TW106" s="1"/>
      <c r="TX106" s="73"/>
      <c r="TY106" s="74"/>
      <c r="UA106" s="75"/>
      <c r="UD106" s="75"/>
      <c r="UE106" s="72"/>
      <c r="UF106" s="68"/>
      <c r="UG106" s="1"/>
      <c r="UH106" s="73"/>
      <c r="UI106" s="74"/>
      <c r="UK106" s="75"/>
      <c r="UN106" s="75"/>
      <c r="UO106" s="72"/>
      <c r="UP106" s="68"/>
      <c r="UQ106" s="1"/>
      <c r="UR106" s="73"/>
      <c r="US106" s="74"/>
      <c r="UU106" s="75"/>
      <c r="UX106" s="75"/>
      <c r="UY106" s="72"/>
      <c r="UZ106" s="68"/>
      <c r="VA106" s="1"/>
      <c r="VB106" s="73"/>
      <c r="VC106" s="74"/>
      <c r="VE106" s="75"/>
      <c r="VH106" s="75"/>
      <c r="VI106" s="72"/>
      <c r="VJ106" s="68"/>
      <c r="VK106" s="1"/>
      <c r="VL106" s="73"/>
      <c r="VM106" s="74"/>
      <c r="VO106" s="75"/>
      <c r="VR106" s="75"/>
      <c r="VS106" s="72"/>
      <c r="VT106" s="68"/>
      <c r="VU106" s="1"/>
      <c r="VV106" s="73"/>
      <c r="VW106" s="74"/>
      <c r="VY106" s="75"/>
      <c r="WB106" s="75"/>
      <c r="WC106" s="72"/>
      <c r="WD106" s="68"/>
      <c r="WE106" s="1"/>
      <c r="WF106" s="73"/>
      <c r="WG106" s="74"/>
      <c r="WI106" s="75"/>
      <c r="WL106" s="75"/>
      <c r="WM106" s="72"/>
      <c r="WN106" s="68"/>
      <c r="WO106" s="1"/>
      <c r="WP106" s="73"/>
      <c r="WQ106" s="74"/>
      <c r="WS106" s="75"/>
      <c r="WV106" s="75"/>
      <c r="WW106" s="72"/>
      <c r="WX106" s="68"/>
      <c r="WY106" s="1"/>
      <c r="WZ106" s="73"/>
      <c r="XA106" s="74"/>
      <c r="XC106" s="75"/>
      <c r="XF106" s="75"/>
      <c r="XG106" s="72"/>
      <c r="XH106" s="68"/>
      <c r="XI106" s="1"/>
      <c r="XJ106" s="73"/>
      <c r="XK106" s="74"/>
      <c r="XM106" s="75"/>
      <c r="XP106" s="75"/>
      <c r="XQ106" s="72"/>
      <c r="XR106" s="68"/>
      <c r="XS106" s="1"/>
      <c r="XT106" s="73"/>
      <c r="XU106" s="74"/>
      <c r="XW106" s="75"/>
      <c r="XZ106" s="75"/>
      <c r="YA106" s="72"/>
      <c r="YB106" s="68"/>
      <c r="YC106" s="1"/>
      <c r="YD106" s="73"/>
      <c r="YE106" s="74"/>
      <c r="YG106" s="75"/>
      <c r="YJ106" s="75"/>
      <c r="YK106" s="72"/>
      <c r="YL106" s="68"/>
      <c r="YM106" s="1"/>
      <c r="YN106" s="73"/>
      <c r="YO106" s="74"/>
      <c r="YQ106" s="75"/>
      <c r="YT106" s="75"/>
      <c r="YU106" s="72"/>
      <c r="YV106" s="68"/>
      <c r="YW106" s="1"/>
      <c r="YX106" s="73"/>
      <c r="YY106" s="74"/>
      <c r="ZA106" s="75"/>
      <c r="ZD106" s="75"/>
      <c r="ZE106" s="72"/>
      <c r="ZF106" s="68"/>
      <c r="ZG106" s="1"/>
      <c r="ZH106" s="73"/>
      <c r="ZI106" s="74"/>
      <c r="ZK106" s="75"/>
      <c r="ZN106" s="75"/>
      <c r="ZO106" s="72"/>
      <c r="ZP106" s="68"/>
      <c r="ZQ106" s="1"/>
      <c r="ZR106" s="73"/>
      <c r="ZS106" s="74"/>
      <c r="ZU106" s="75"/>
      <c r="ZX106" s="75"/>
      <c r="ZY106" s="72"/>
      <c r="ZZ106" s="68"/>
      <c r="AAA106" s="1"/>
      <c r="AAB106" s="73"/>
      <c r="AAC106" s="74"/>
      <c r="AAE106" s="75"/>
      <c r="AAH106" s="75"/>
      <c r="AAI106" s="72"/>
      <c r="AAJ106" s="68"/>
      <c r="AAK106" s="1"/>
      <c r="AAL106" s="73"/>
      <c r="AAM106" s="74"/>
      <c r="AAO106" s="75"/>
      <c r="AAR106" s="75"/>
      <c r="AAS106" s="72"/>
      <c r="AAT106" s="68"/>
      <c r="AAU106" s="1"/>
      <c r="AAV106" s="73"/>
      <c r="AAW106" s="74"/>
      <c r="AAY106" s="75"/>
      <c r="ABB106" s="75"/>
      <c r="ABC106" s="72"/>
      <c r="ABD106" s="68"/>
      <c r="ABE106" s="1"/>
      <c r="ABF106" s="73"/>
      <c r="ABG106" s="74"/>
      <c r="ABI106" s="75"/>
      <c r="ABL106" s="75"/>
      <c r="ABM106" s="72"/>
      <c r="ABN106" s="68"/>
      <c r="ABO106" s="1"/>
      <c r="ABP106" s="73"/>
      <c r="ABQ106" s="74"/>
      <c r="ABS106" s="75"/>
      <c r="ABV106" s="75"/>
      <c r="ABW106" s="72"/>
      <c r="ABX106" s="68"/>
      <c r="ABY106" s="1"/>
      <c r="ABZ106" s="73"/>
      <c r="ACA106" s="74"/>
      <c r="ACC106" s="75"/>
      <c r="ACF106" s="75"/>
      <c r="ACG106" s="72"/>
      <c r="ACH106" s="68"/>
      <c r="ACI106" s="1"/>
      <c r="ACJ106" s="73"/>
      <c r="ACK106" s="74"/>
      <c r="ACM106" s="75"/>
      <c r="ACP106" s="75"/>
      <c r="ACQ106" s="72"/>
      <c r="ACR106" s="68"/>
      <c r="ACS106" s="1"/>
      <c r="ACT106" s="73"/>
      <c r="ACU106" s="74"/>
      <c r="ACW106" s="75"/>
      <c r="ACZ106" s="75"/>
      <c r="ADA106" s="72"/>
      <c r="ADB106" s="68"/>
      <c r="ADC106" s="1"/>
      <c r="ADD106" s="73"/>
      <c r="ADE106" s="74"/>
      <c r="ADG106" s="75"/>
      <c r="ADJ106" s="75"/>
      <c r="ADK106" s="72"/>
      <c r="ADL106" s="68"/>
      <c r="ADM106" s="1"/>
      <c r="ADN106" s="73"/>
      <c r="ADO106" s="74"/>
      <c r="ADQ106" s="75"/>
      <c r="ADT106" s="75"/>
      <c r="ADU106" s="72"/>
      <c r="ADV106" s="68"/>
      <c r="ADW106" s="1"/>
      <c r="ADX106" s="73"/>
      <c r="ADY106" s="74"/>
      <c r="AEA106" s="75"/>
      <c r="AED106" s="75"/>
      <c r="AEE106" s="72"/>
      <c r="AEF106" s="68"/>
      <c r="AEG106" s="1"/>
      <c r="AEH106" s="73"/>
      <c r="AEI106" s="74"/>
      <c r="AEK106" s="75"/>
      <c r="AEN106" s="75"/>
      <c r="AEO106" s="72"/>
      <c r="AEP106" s="68"/>
      <c r="AEQ106" s="1"/>
      <c r="AER106" s="73"/>
      <c r="AES106" s="74"/>
      <c r="AEU106" s="75"/>
      <c r="AEX106" s="75"/>
      <c r="AEY106" s="72"/>
      <c r="AEZ106" s="68"/>
      <c r="AFA106" s="1"/>
      <c r="AFB106" s="73"/>
      <c r="AFC106" s="74"/>
      <c r="AFE106" s="75"/>
      <c r="AFH106" s="75"/>
      <c r="AFI106" s="72"/>
      <c r="AFJ106" s="68"/>
      <c r="AFK106" s="1"/>
      <c r="AFL106" s="73"/>
      <c r="AFM106" s="74"/>
      <c r="AFO106" s="75"/>
      <c r="AFR106" s="75"/>
      <c r="AFS106" s="72"/>
      <c r="AFT106" s="68"/>
      <c r="AFU106" s="1"/>
      <c r="AFV106" s="73"/>
      <c r="AFW106" s="74"/>
      <c r="AFY106" s="75"/>
      <c r="AGB106" s="75"/>
      <c r="AGC106" s="72"/>
      <c r="AGD106" s="68"/>
      <c r="AGE106" s="1"/>
      <c r="AGF106" s="73"/>
      <c r="AGG106" s="74"/>
      <c r="AGI106" s="75"/>
      <c r="AGL106" s="75"/>
      <c r="AGM106" s="72"/>
      <c r="AGN106" s="68"/>
      <c r="AGO106" s="1"/>
      <c r="AGP106" s="73"/>
      <c r="AGQ106" s="74"/>
      <c r="AGS106" s="75"/>
      <c r="AGV106" s="75"/>
      <c r="AGW106" s="72"/>
      <c r="AGX106" s="68"/>
      <c r="AGY106" s="1"/>
      <c r="AGZ106" s="73"/>
      <c r="AHA106" s="74"/>
      <c r="AHC106" s="75"/>
      <c r="AHF106" s="75"/>
      <c r="AHG106" s="72"/>
      <c r="AHH106" s="68"/>
      <c r="AHI106" s="1"/>
      <c r="AHJ106" s="73"/>
      <c r="AHK106" s="74"/>
      <c r="AHM106" s="75"/>
      <c r="AHP106" s="75"/>
      <c r="AHQ106" s="72"/>
      <c r="AHR106" s="68"/>
      <c r="AHS106" s="1"/>
      <c r="AHT106" s="73"/>
      <c r="AHU106" s="74"/>
      <c r="AHW106" s="75"/>
      <c r="AHZ106" s="75"/>
      <c r="AIA106" s="72"/>
      <c r="AIB106" s="68"/>
      <c r="AIC106" s="1"/>
      <c r="AID106" s="73"/>
      <c r="AIE106" s="74"/>
      <c r="AIG106" s="75"/>
      <c r="AIJ106" s="75"/>
      <c r="AIK106" s="72"/>
      <c r="AIL106" s="68"/>
      <c r="AIM106" s="1"/>
      <c r="AIN106" s="73"/>
      <c r="AIO106" s="74"/>
      <c r="AIQ106" s="75"/>
      <c r="AIT106" s="75"/>
      <c r="AIU106" s="72"/>
      <c r="AIV106" s="68"/>
      <c r="AIW106" s="1"/>
      <c r="AIX106" s="73"/>
      <c r="AIY106" s="74"/>
      <c r="AJA106" s="75"/>
      <c r="AJD106" s="75"/>
      <c r="AJE106" s="72"/>
      <c r="AJF106" s="68"/>
      <c r="AJG106" s="1"/>
      <c r="AJH106" s="73"/>
      <c r="AJI106" s="74"/>
      <c r="AJK106" s="75"/>
      <c r="AJN106" s="75"/>
      <c r="AJO106" s="72"/>
      <c r="AJP106" s="68"/>
      <c r="AJQ106" s="1"/>
      <c r="AJR106" s="73"/>
      <c r="AJS106" s="74"/>
      <c r="AJU106" s="75"/>
      <c r="AJX106" s="75"/>
      <c r="AJY106" s="72"/>
      <c r="AJZ106" s="68"/>
      <c r="AKA106" s="1"/>
      <c r="AKB106" s="73"/>
      <c r="AKC106" s="74"/>
      <c r="AKE106" s="75"/>
      <c r="AKH106" s="75"/>
      <c r="AKI106" s="72"/>
      <c r="AKJ106" s="68"/>
      <c r="AKK106" s="1"/>
      <c r="AKL106" s="73"/>
      <c r="AKM106" s="74"/>
      <c r="AKO106" s="75"/>
      <c r="AKR106" s="75"/>
      <c r="AKS106" s="72"/>
      <c r="AKT106" s="68"/>
      <c r="AKU106" s="1"/>
      <c r="AKV106" s="73"/>
      <c r="AKW106" s="74"/>
      <c r="AKY106" s="75"/>
      <c r="ALB106" s="75"/>
      <c r="ALC106" s="72"/>
      <c r="ALD106" s="68"/>
      <c r="ALE106" s="1"/>
      <c r="ALF106" s="73"/>
      <c r="ALG106" s="74"/>
      <c r="ALI106" s="75"/>
      <c r="ALL106" s="75"/>
      <c r="ALM106" s="72"/>
      <c r="ALN106" s="68"/>
      <c r="ALO106" s="1"/>
      <c r="ALP106" s="73"/>
      <c r="ALQ106" s="74"/>
      <c r="ALS106" s="75"/>
      <c r="ALV106" s="75"/>
      <c r="ALW106" s="72"/>
      <c r="ALX106" s="68"/>
      <c r="ALY106" s="1"/>
      <c r="ALZ106" s="73"/>
      <c r="AMA106" s="74"/>
      <c r="AMC106" s="75"/>
      <c r="AMF106" s="75"/>
      <c r="AMG106" s="72"/>
      <c r="AMH106" s="68"/>
      <c r="AMI106" s="1"/>
      <c r="AMJ106" s="73"/>
      <c r="AMK106" s="74"/>
      <c r="AMM106" s="75"/>
      <c r="AMP106" s="75"/>
      <c r="AMQ106" s="72"/>
      <c r="AMR106" s="68"/>
      <c r="AMS106" s="1"/>
      <c r="AMT106" s="73"/>
      <c r="AMU106" s="74"/>
      <c r="AMW106" s="75"/>
      <c r="AMZ106" s="75"/>
      <c r="ANA106" s="72"/>
      <c r="ANB106" s="68"/>
      <c r="ANC106" s="1"/>
      <c r="AND106" s="73"/>
      <c r="ANE106" s="74"/>
      <c r="ANG106" s="75"/>
      <c r="ANJ106" s="75"/>
      <c r="ANK106" s="72"/>
      <c r="ANL106" s="68"/>
      <c r="ANM106" s="1"/>
      <c r="ANN106" s="73"/>
      <c r="ANO106" s="74"/>
      <c r="ANQ106" s="75"/>
      <c r="ANT106" s="75"/>
      <c r="ANU106" s="72"/>
      <c r="ANV106" s="68"/>
      <c r="ANW106" s="1"/>
      <c r="ANX106" s="73"/>
      <c r="ANY106" s="74"/>
      <c r="AOA106" s="75"/>
      <c r="AOD106" s="75"/>
      <c r="AOE106" s="72"/>
      <c r="AOF106" s="68"/>
      <c r="AOG106" s="1"/>
      <c r="AOH106" s="73"/>
      <c r="AOI106" s="74"/>
      <c r="AOK106" s="75"/>
      <c r="AON106" s="75"/>
      <c r="AOO106" s="72"/>
      <c r="AOP106" s="68"/>
      <c r="AOQ106" s="1"/>
      <c r="AOR106" s="73"/>
      <c r="AOS106" s="74"/>
      <c r="AOU106" s="75"/>
      <c r="AOX106" s="75"/>
      <c r="AOY106" s="72"/>
      <c r="AOZ106" s="68"/>
      <c r="APA106" s="1"/>
      <c r="APB106" s="73"/>
      <c r="APC106" s="74"/>
      <c r="APE106" s="75"/>
      <c r="APH106" s="75"/>
      <c r="API106" s="72"/>
      <c r="APJ106" s="68"/>
      <c r="APK106" s="1"/>
      <c r="APL106" s="73"/>
      <c r="APM106" s="74"/>
      <c r="APO106" s="75"/>
      <c r="APR106" s="75"/>
      <c r="APS106" s="72"/>
      <c r="APT106" s="68"/>
      <c r="APU106" s="1"/>
      <c r="APV106" s="73"/>
      <c r="APW106" s="74"/>
      <c r="APY106" s="75"/>
      <c r="AQB106" s="75"/>
      <c r="AQC106" s="72"/>
      <c r="AQD106" s="68"/>
      <c r="AQE106" s="1"/>
      <c r="AQF106" s="73"/>
      <c r="AQG106" s="74"/>
      <c r="AQI106" s="75"/>
      <c r="AQL106" s="75"/>
      <c r="AQM106" s="72"/>
      <c r="AQN106" s="68"/>
      <c r="AQO106" s="1"/>
      <c r="AQP106" s="73"/>
      <c r="AQQ106" s="74"/>
      <c r="AQS106" s="75"/>
      <c r="AQV106" s="75"/>
      <c r="AQW106" s="72"/>
      <c r="AQX106" s="68"/>
      <c r="AQY106" s="1"/>
      <c r="AQZ106" s="73"/>
      <c r="ARA106" s="74"/>
      <c r="ARC106" s="75"/>
      <c r="ARF106" s="75"/>
      <c r="ARG106" s="72"/>
      <c r="ARH106" s="68"/>
      <c r="ARI106" s="1"/>
      <c r="ARJ106" s="73"/>
      <c r="ARK106" s="74"/>
      <c r="ARM106" s="75"/>
      <c r="ARP106" s="75"/>
      <c r="ARQ106" s="72"/>
      <c r="ARR106" s="68"/>
      <c r="ARS106" s="1"/>
      <c r="ART106" s="73"/>
      <c r="ARU106" s="74"/>
      <c r="ARW106" s="75"/>
      <c r="ARZ106" s="75"/>
      <c r="ASA106" s="72"/>
      <c r="ASB106" s="68"/>
      <c r="ASC106" s="1"/>
      <c r="ASD106" s="73"/>
      <c r="ASE106" s="74"/>
      <c r="ASG106" s="75"/>
      <c r="ASJ106" s="75"/>
      <c r="ASK106" s="72"/>
      <c r="ASL106" s="68"/>
      <c r="ASM106" s="1"/>
      <c r="ASN106" s="73"/>
      <c r="ASO106" s="74"/>
      <c r="ASQ106" s="75"/>
      <c r="AST106" s="75"/>
      <c r="ASU106" s="72"/>
      <c r="ASV106" s="68"/>
      <c r="ASW106" s="1"/>
      <c r="ASX106" s="73"/>
      <c r="ASY106" s="74"/>
      <c r="ATA106" s="75"/>
      <c r="ATD106" s="75"/>
      <c r="ATE106" s="72"/>
      <c r="ATF106" s="68"/>
      <c r="ATG106" s="1"/>
      <c r="ATH106" s="73"/>
      <c r="ATI106" s="74"/>
      <c r="ATK106" s="75"/>
      <c r="ATN106" s="75"/>
      <c r="ATO106" s="72"/>
      <c r="ATP106" s="68"/>
      <c r="ATQ106" s="1"/>
      <c r="ATR106" s="73"/>
      <c r="ATS106" s="74"/>
      <c r="ATU106" s="75"/>
      <c r="ATX106" s="75"/>
      <c r="ATY106" s="72"/>
      <c r="ATZ106" s="68"/>
      <c r="AUA106" s="1"/>
      <c r="AUB106" s="73"/>
      <c r="AUC106" s="74"/>
      <c r="AUE106" s="75"/>
      <c r="AUH106" s="75"/>
      <c r="AUI106" s="72"/>
      <c r="AUJ106" s="68"/>
      <c r="AUK106" s="1"/>
      <c r="AUL106" s="73"/>
      <c r="AUM106" s="74"/>
      <c r="AUO106" s="75"/>
      <c r="AUR106" s="75"/>
      <c r="AUS106" s="72"/>
      <c r="AUT106" s="68"/>
      <c r="AUU106" s="1"/>
      <c r="AUV106" s="73"/>
      <c r="AUW106" s="74"/>
      <c r="AUY106" s="75"/>
      <c r="AVB106" s="75"/>
      <c r="AVC106" s="72"/>
      <c r="AVD106" s="68"/>
      <c r="AVE106" s="1"/>
      <c r="AVF106" s="73"/>
      <c r="AVG106" s="74"/>
      <c r="AVI106" s="75"/>
      <c r="AVL106" s="75"/>
      <c r="AVM106" s="72"/>
      <c r="AVN106" s="68"/>
      <c r="AVO106" s="1"/>
      <c r="AVP106" s="73"/>
      <c r="AVQ106" s="74"/>
      <c r="AVS106" s="75"/>
      <c r="AVV106" s="75"/>
      <c r="AVW106" s="72"/>
      <c r="AVX106" s="68"/>
      <c r="AVY106" s="1"/>
      <c r="AVZ106" s="73"/>
      <c r="AWA106" s="74"/>
      <c r="AWC106" s="75"/>
      <c r="AWF106" s="75"/>
      <c r="AWG106" s="72"/>
      <c r="AWH106" s="68"/>
      <c r="AWI106" s="1"/>
      <c r="AWJ106" s="73"/>
      <c r="AWK106" s="74"/>
      <c r="AWM106" s="75"/>
      <c r="AWP106" s="75"/>
      <c r="AWQ106" s="72"/>
      <c r="AWR106" s="68"/>
      <c r="AWS106" s="1"/>
      <c r="AWT106" s="73"/>
      <c r="AWU106" s="74"/>
      <c r="AWW106" s="75"/>
      <c r="AWZ106" s="75"/>
      <c r="AXA106" s="72"/>
      <c r="AXB106" s="68"/>
      <c r="AXC106" s="1"/>
      <c r="AXD106" s="73"/>
      <c r="AXE106" s="74"/>
      <c r="AXG106" s="75"/>
      <c r="AXJ106" s="75"/>
      <c r="AXK106" s="72"/>
      <c r="AXL106" s="68"/>
      <c r="AXM106" s="1"/>
      <c r="AXN106" s="73"/>
      <c r="AXO106" s="74"/>
      <c r="AXQ106" s="75"/>
      <c r="AXT106" s="75"/>
      <c r="AXU106" s="72"/>
      <c r="AXV106" s="68"/>
      <c r="AXW106" s="1"/>
      <c r="AXX106" s="73"/>
      <c r="AXY106" s="74"/>
      <c r="AYA106" s="75"/>
      <c r="AYD106" s="75"/>
      <c r="AYE106" s="72"/>
      <c r="AYF106" s="68"/>
      <c r="AYG106" s="1"/>
      <c r="AYH106" s="73"/>
      <c r="AYI106" s="74"/>
      <c r="AYK106" s="75"/>
      <c r="AYN106" s="75"/>
      <c r="AYO106" s="72"/>
      <c r="AYP106" s="68"/>
      <c r="AYQ106" s="1"/>
      <c r="AYR106" s="73"/>
      <c r="AYS106" s="74"/>
      <c r="AYU106" s="75"/>
      <c r="AYX106" s="75"/>
      <c r="AYY106" s="72"/>
      <c r="AYZ106" s="68"/>
      <c r="AZA106" s="1"/>
      <c r="AZB106" s="73"/>
      <c r="AZC106" s="74"/>
      <c r="AZE106" s="75"/>
      <c r="AZH106" s="75"/>
      <c r="AZI106" s="72"/>
      <c r="AZJ106" s="68"/>
      <c r="AZK106" s="1"/>
      <c r="AZL106" s="73"/>
      <c r="AZM106" s="74"/>
      <c r="AZO106" s="75"/>
      <c r="AZR106" s="75"/>
      <c r="AZS106" s="72"/>
      <c r="AZT106" s="68"/>
      <c r="AZU106" s="1"/>
      <c r="AZV106" s="73"/>
      <c r="AZW106" s="74"/>
      <c r="AZY106" s="75"/>
      <c r="BAB106" s="75"/>
      <c r="BAC106" s="72"/>
      <c r="BAD106" s="68"/>
      <c r="BAE106" s="1"/>
      <c r="BAF106" s="73"/>
      <c r="BAG106" s="74"/>
      <c r="BAI106" s="75"/>
      <c r="BAL106" s="75"/>
      <c r="BAM106" s="72"/>
      <c r="BAN106" s="68"/>
      <c r="BAO106" s="1"/>
      <c r="BAP106" s="73"/>
      <c r="BAQ106" s="74"/>
      <c r="BAS106" s="75"/>
      <c r="BAV106" s="75"/>
      <c r="BAW106" s="72"/>
      <c r="BAX106" s="68"/>
      <c r="BAY106" s="1"/>
      <c r="BAZ106" s="73"/>
      <c r="BBA106" s="74"/>
      <c r="BBC106" s="75"/>
      <c r="BBF106" s="75"/>
      <c r="BBG106" s="72"/>
      <c r="BBH106" s="68"/>
      <c r="BBI106" s="1"/>
      <c r="BBJ106" s="73"/>
      <c r="BBK106" s="74"/>
      <c r="BBM106" s="75"/>
      <c r="BBP106" s="75"/>
      <c r="BBQ106" s="72"/>
      <c r="BBR106" s="68"/>
      <c r="BBS106" s="1"/>
      <c r="BBT106" s="73"/>
      <c r="BBU106" s="74"/>
      <c r="BBW106" s="75"/>
      <c r="BBZ106" s="75"/>
      <c r="BCA106" s="72"/>
      <c r="BCB106" s="68"/>
      <c r="BCC106" s="1"/>
      <c r="BCD106" s="73"/>
      <c r="BCE106" s="74"/>
      <c r="BCG106" s="75"/>
      <c r="BCJ106" s="75"/>
      <c r="BCK106" s="72"/>
      <c r="BCL106" s="68"/>
      <c r="BCM106" s="1"/>
      <c r="BCN106" s="73"/>
      <c r="BCO106" s="74"/>
      <c r="BCQ106" s="75"/>
      <c r="BCT106" s="75"/>
      <c r="BCU106" s="72"/>
      <c r="BCV106" s="68"/>
      <c r="BCW106" s="1"/>
      <c r="BCX106" s="73"/>
      <c r="BCY106" s="74"/>
      <c r="BDA106" s="75"/>
      <c r="BDD106" s="75"/>
      <c r="BDE106" s="72"/>
      <c r="BDF106" s="68"/>
      <c r="BDG106" s="1"/>
      <c r="BDH106" s="73"/>
      <c r="BDI106" s="74"/>
      <c r="BDK106" s="75"/>
      <c r="BDN106" s="75"/>
      <c r="BDO106" s="72"/>
      <c r="BDP106" s="68"/>
      <c r="BDQ106" s="1"/>
      <c r="BDR106" s="73"/>
      <c r="BDS106" s="74"/>
      <c r="BDU106" s="75"/>
      <c r="BDX106" s="75"/>
      <c r="BDY106" s="72"/>
      <c r="BDZ106" s="68"/>
      <c r="BEA106" s="1"/>
      <c r="BEB106" s="73"/>
      <c r="BEC106" s="74"/>
      <c r="BEE106" s="75"/>
      <c r="BEH106" s="75"/>
      <c r="BEI106" s="72"/>
      <c r="BEJ106" s="68"/>
      <c r="BEK106" s="1"/>
      <c r="BEL106" s="73"/>
      <c r="BEM106" s="74"/>
      <c r="BEO106" s="75"/>
      <c r="BER106" s="75"/>
      <c r="BES106" s="72"/>
      <c r="BET106" s="68"/>
      <c r="BEU106" s="1"/>
      <c r="BEV106" s="73"/>
      <c r="BEW106" s="74"/>
      <c r="BEY106" s="75"/>
      <c r="BFB106" s="75"/>
      <c r="BFC106" s="72"/>
      <c r="BFD106" s="68"/>
      <c r="BFE106" s="1"/>
      <c r="BFF106" s="73"/>
      <c r="BFG106" s="74"/>
      <c r="BFI106" s="75"/>
      <c r="BFL106" s="75"/>
      <c r="BFM106" s="72"/>
      <c r="BFN106" s="68"/>
      <c r="BFO106" s="1"/>
      <c r="BFP106" s="73"/>
      <c r="BFQ106" s="74"/>
      <c r="BFS106" s="75"/>
      <c r="BFV106" s="75"/>
      <c r="BFW106" s="72"/>
      <c r="BFX106" s="68"/>
      <c r="BFY106" s="1"/>
      <c r="BFZ106" s="73"/>
      <c r="BGA106" s="74"/>
      <c r="BGC106" s="75"/>
      <c r="BGF106" s="75"/>
      <c r="BGG106" s="72"/>
      <c r="BGH106" s="68"/>
      <c r="BGI106" s="1"/>
      <c r="BGJ106" s="73"/>
      <c r="BGK106" s="74"/>
      <c r="BGM106" s="75"/>
      <c r="BGP106" s="75"/>
      <c r="BGQ106" s="72"/>
      <c r="BGR106" s="68"/>
      <c r="BGS106" s="1"/>
      <c r="BGT106" s="73"/>
      <c r="BGU106" s="74"/>
      <c r="BGW106" s="75"/>
      <c r="BGZ106" s="75"/>
      <c r="BHA106" s="72"/>
      <c r="BHB106" s="68"/>
      <c r="BHC106" s="1"/>
      <c r="BHD106" s="73"/>
      <c r="BHE106" s="74"/>
      <c r="BHG106" s="75"/>
      <c r="BHJ106" s="75"/>
      <c r="BHK106" s="72"/>
      <c r="BHL106" s="68"/>
      <c r="BHM106" s="1"/>
      <c r="BHN106" s="73"/>
      <c r="BHO106" s="74"/>
      <c r="BHQ106" s="75"/>
      <c r="BHT106" s="75"/>
      <c r="BHU106" s="72"/>
      <c r="BHV106" s="68"/>
      <c r="BHW106" s="1"/>
      <c r="BHX106" s="73"/>
      <c r="BHY106" s="74"/>
      <c r="BIA106" s="75"/>
      <c r="BID106" s="75"/>
      <c r="BIE106" s="72"/>
      <c r="BIF106" s="68"/>
      <c r="BIG106" s="1"/>
      <c r="BIH106" s="73"/>
      <c r="BII106" s="74"/>
      <c r="BIK106" s="75"/>
      <c r="BIN106" s="75"/>
      <c r="BIO106" s="72"/>
      <c r="BIP106" s="68"/>
      <c r="BIQ106" s="1"/>
      <c r="BIR106" s="73"/>
      <c r="BIS106" s="74"/>
      <c r="BIU106" s="75"/>
      <c r="BIX106" s="75"/>
      <c r="BIY106" s="72"/>
      <c r="BIZ106" s="68"/>
      <c r="BJA106" s="1"/>
      <c r="BJB106" s="73"/>
      <c r="BJC106" s="74"/>
      <c r="BJE106" s="75"/>
      <c r="BJH106" s="75"/>
      <c r="BJI106" s="72"/>
      <c r="BJJ106" s="68"/>
      <c r="BJK106" s="1"/>
      <c r="BJL106" s="73"/>
      <c r="BJM106" s="74"/>
      <c r="BJO106" s="75"/>
      <c r="BJR106" s="75"/>
      <c r="BJS106" s="72"/>
      <c r="BJT106" s="68"/>
      <c r="BJU106" s="1"/>
      <c r="BJV106" s="73"/>
      <c r="BJW106" s="74"/>
      <c r="BJY106" s="75"/>
      <c r="BKB106" s="75"/>
      <c r="BKC106" s="72"/>
      <c r="BKD106" s="68"/>
      <c r="BKE106" s="1"/>
      <c r="BKF106" s="73"/>
      <c r="BKG106" s="74"/>
      <c r="BKI106" s="75"/>
      <c r="BKL106" s="75"/>
      <c r="BKM106" s="72"/>
      <c r="BKN106" s="68"/>
      <c r="BKO106" s="1"/>
      <c r="BKP106" s="73"/>
      <c r="BKQ106" s="74"/>
      <c r="BKS106" s="75"/>
      <c r="BKV106" s="75"/>
      <c r="BKW106" s="72"/>
      <c r="BKX106" s="68"/>
      <c r="BKY106" s="1"/>
      <c r="BKZ106" s="73"/>
      <c r="BLA106" s="74"/>
      <c r="BLC106" s="75"/>
      <c r="BLF106" s="75"/>
      <c r="BLG106" s="72"/>
      <c r="BLH106" s="68"/>
      <c r="BLI106" s="1"/>
      <c r="BLJ106" s="73"/>
      <c r="BLK106" s="74"/>
      <c r="BLM106" s="75"/>
      <c r="BLP106" s="75"/>
      <c r="BLQ106" s="72"/>
      <c r="BLR106" s="68"/>
      <c r="BLS106" s="1"/>
      <c r="BLT106" s="73"/>
      <c r="BLU106" s="74"/>
      <c r="BLW106" s="75"/>
      <c r="BLZ106" s="75"/>
      <c r="BMA106" s="72"/>
      <c r="BMB106" s="68"/>
      <c r="BMC106" s="1"/>
      <c r="BMD106" s="73"/>
      <c r="BME106" s="74"/>
      <c r="BMG106" s="75"/>
      <c r="BMJ106" s="75"/>
      <c r="BMK106" s="72"/>
      <c r="BML106" s="68"/>
      <c r="BMM106" s="1"/>
      <c r="BMN106" s="73"/>
      <c r="BMO106" s="74"/>
      <c r="BMQ106" s="75"/>
      <c r="BMT106" s="75"/>
      <c r="BMU106" s="72"/>
      <c r="BMV106" s="68"/>
      <c r="BMW106" s="1"/>
      <c r="BMX106" s="73"/>
      <c r="BMY106" s="74"/>
      <c r="BNA106" s="75"/>
      <c r="BND106" s="75"/>
      <c r="BNE106" s="72"/>
      <c r="BNF106" s="68"/>
      <c r="BNG106" s="1"/>
      <c r="BNH106" s="73"/>
      <c r="BNI106" s="74"/>
      <c r="BNK106" s="75"/>
      <c r="BNN106" s="75"/>
      <c r="BNO106" s="72"/>
      <c r="BNP106" s="68"/>
      <c r="BNQ106" s="1"/>
      <c r="BNR106" s="73"/>
      <c r="BNS106" s="74"/>
      <c r="BNU106" s="75"/>
      <c r="BNX106" s="75"/>
      <c r="BNY106" s="72"/>
      <c r="BNZ106" s="68"/>
      <c r="BOA106" s="1"/>
      <c r="BOB106" s="73"/>
      <c r="BOC106" s="74"/>
      <c r="BOE106" s="75"/>
      <c r="BOH106" s="75"/>
      <c r="BOI106" s="72"/>
      <c r="BOJ106" s="68"/>
      <c r="BOK106" s="1"/>
      <c r="BOL106" s="73"/>
      <c r="BOM106" s="74"/>
      <c r="BOO106" s="75"/>
      <c r="BOR106" s="75"/>
      <c r="BOS106" s="72"/>
      <c r="BOT106" s="68"/>
      <c r="BOU106" s="1"/>
      <c r="BOV106" s="73"/>
      <c r="BOW106" s="74"/>
      <c r="BOY106" s="75"/>
      <c r="BPB106" s="75"/>
      <c r="BPC106" s="72"/>
      <c r="BPD106" s="68"/>
      <c r="BPE106" s="1"/>
      <c r="BPF106" s="73"/>
      <c r="BPG106" s="74"/>
      <c r="BPI106" s="75"/>
      <c r="BPL106" s="75"/>
      <c r="BPM106" s="72"/>
      <c r="BPN106" s="68"/>
      <c r="BPO106" s="1"/>
      <c r="BPP106" s="73"/>
      <c r="BPQ106" s="74"/>
      <c r="BPS106" s="75"/>
      <c r="BPV106" s="75"/>
      <c r="BPW106" s="72"/>
      <c r="BPX106" s="68"/>
      <c r="BPY106" s="1"/>
      <c r="BPZ106" s="73"/>
      <c r="BQA106" s="74"/>
      <c r="BQC106" s="75"/>
      <c r="BQF106" s="75"/>
      <c r="BQG106" s="72"/>
      <c r="BQH106" s="68"/>
      <c r="BQI106" s="1"/>
      <c r="BQJ106" s="73"/>
      <c r="BQK106" s="74"/>
      <c r="BQM106" s="75"/>
      <c r="BQP106" s="75"/>
      <c r="BQQ106" s="72"/>
      <c r="BQR106" s="68"/>
      <c r="BQS106" s="1"/>
      <c r="BQT106" s="73"/>
      <c r="BQU106" s="74"/>
      <c r="BQW106" s="75"/>
      <c r="BQZ106" s="75"/>
      <c r="BRA106" s="72"/>
      <c r="BRB106" s="68"/>
      <c r="BRC106" s="1"/>
      <c r="BRD106" s="73"/>
      <c r="BRE106" s="74"/>
      <c r="BRG106" s="75"/>
      <c r="BRJ106" s="75"/>
      <c r="BRK106" s="72"/>
      <c r="BRL106" s="68"/>
      <c r="BRM106" s="1"/>
      <c r="BRN106" s="73"/>
      <c r="BRO106" s="74"/>
      <c r="BRQ106" s="75"/>
      <c r="BRT106" s="75"/>
      <c r="BRU106" s="72"/>
      <c r="BRV106" s="68"/>
      <c r="BRW106" s="1"/>
      <c r="BRX106" s="73"/>
      <c r="BRY106" s="74"/>
      <c r="BSA106" s="75"/>
      <c r="BSD106" s="75"/>
      <c r="BSE106" s="72"/>
      <c r="BSF106" s="68"/>
      <c r="BSG106" s="1"/>
      <c r="BSH106" s="73"/>
      <c r="BSI106" s="74"/>
      <c r="BSK106" s="75"/>
      <c r="BSN106" s="75"/>
      <c r="BSO106" s="72"/>
      <c r="BSP106" s="68"/>
      <c r="BSQ106" s="1"/>
      <c r="BSR106" s="73"/>
      <c r="BSS106" s="74"/>
      <c r="BSU106" s="75"/>
      <c r="BSX106" s="75"/>
      <c r="BSY106" s="72"/>
      <c r="BSZ106" s="68"/>
      <c r="BTA106" s="1"/>
      <c r="BTB106" s="73"/>
      <c r="BTC106" s="74"/>
      <c r="BTE106" s="75"/>
      <c r="BTH106" s="75"/>
      <c r="BTI106" s="72"/>
      <c r="BTJ106" s="68"/>
      <c r="BTK106" s="1"/>
      <c r="BTL106" s="73"/>
      <c r="BTM106" s="74"/>
      <c r="BTO106" s="75"/>
      <c r="BTR106" s="75"/>
      <c r="BTS106" s="72"/>
      <c r="BTT106" s="68"/>
      <c r="BTU106" s="1"/>
      <c r="BTV106" s="73"/>
      <c r="BTW106" s="74"/>
      <c r="BTY106" s="75"/>
      <c r="BUB106" s="75"/>
      <c r="BUC106" s="72"/>
      <c r="BUD106" s="68"/>
      <c r="BUE106" s="1"/>
      <c r="BUF106" s="73"/>
      <c r="BUG106" s="74"/>
      <c r="BUI106" s="75"/>
      <c r="BUL106" s="75"/>
      <c r="BUM106" s="72"/>
      <c r="BUN106" s="68"/>
      <c r="BUO106" s="1"/>
      <c r="BUP106" s="73"/>
      <c r="BUQ106" s="74"/>
      <c r="BUS106" s="75"/>
      <c r="BUV106" s="75"/>
      <c r="BUW106" s="72"/>
      <c r="BUX106" s="68"/>
      <c r="BUY106" s="1"/>
      <c r="BUZ106" s="73"/>
      <c r="BVA106" s="74"/>
      <c r="BVC106" s="75"/>
      <c r="BVF106" s="75"/>
      <c r="BVG106" s="72"/>
      <c r="BVH106" s="68"/>
      <c r="BVI106" s="1"/>
      <c r="BVJ106" s="73"/>
      <c r="BVK106" s="74"/>
      <c r="BVM106" s="75"/>
      <c r="BVP106" s="75"/>
      <c r="BVQ106" s="72"/>
      <c r="BVR106" s="68"/>
      <c r="BVS106" s="1"/>
      <c r="BVT106" s="73"/>
      <c r="BVU106" s="74"/>
      <c r="BVW106" s="75"/>
      <c r="BVZ106" s="75"/>
      <c r="BWA106" s="72"/>
      <c r="BWB106" s="68"/>
      <c r="BWC106" s="1"/>
      <c r="BWD106" s="73"/>
      <c r="BWE106" s="74"/>
      <c r="BWG106" s="75"/>
      <c r="BWJ106" s="75"/>
      <c r="BWK106" s="72"/>
      <c r="BWL106" s="68"/>
      <c r="BWM106" s="1"/>
      <c r="BWN106" s="73"/>
      <c r="BWO106" s="74"/>
      <c r="BWQ106" s="75"/>
      <c r="BWT106" s="75"/>
      <c r="BWU106" s="72"/>
      <c r="BWV106" s="68"/>
      <c r="BWW106" s="1"/>
      <c r="BWX106" s="73"/>
      <c r="BWY106" s="74"/>
      <c r="BXA106" s="75"/>
      <c r="BXD106" s="75"/>
      <c r="BXE106" s="72"/>
      <c r="BXF106" s="68"/>
      <c r="BXG106" s="1"/>
      <c r="BXH106" s="73"/>
      <c r="BXI106" s="74"/>
      <c r="BXK106" s="75"/>
      <c r="BXN106" s="75"/>
      <c r="BXO106" s="72"/>
      <c r="BXP106" s="68"/>
      <c r="BXQ106" s="1"/>
      <c r="BXR106" s="73"/>
      <c r="BXS106" s="74"/>
      <c r="BXU106" s="75"/>
      <c r="BXX106" s="75"/>
      <c r="BXY106" s="72"/>
      <c r="BXZ106" s="68"/>
      <c r="BYA106" s="1"/>
      <c r="BYB106" s="73"/>
      <c r="BYC106" s="74"/>
      <c r="BYE106" s="75"/>
      <c r="BYH106" s="75"/>
      <c r="BYI106" s="72"/>
      <c r="BYJ106" s="68"/>
      <c r="BYK106" s="1"/>
      <c r="BYL106" s="73"/>
      <c r="BYM106" s="74"/>
      <c r="BYO106" s="75"/>
      <c r="BYR106" s="75"/>
      <c r="BYS106" s="72"/>
      <c r="BYT106" s="68"/>
      <c r="BYU106" s="1"/>
      <c r="BYV106" s="73"/>
      <c r="BYW106" s="74"/>
      <c r="BYY106" s="75"/>
      <c r="BZB106" s="75"/>
      <c r="BZC106" s="72"/>
      <c r="BZD106" s="68"/>
      <c r="BZE106" s="1"/>
      <c r="BZF106" s="73"/>
      <c r="BZG106" s="74"/>
      <c r="BZI106" s="75"/>
      <c r="BZL106" s="75"/>
      <c r="BZM106" s="72"/>
      <c r="BZN106" s="68"/>
      <c r="BZO106" s="1"/>
      <c r="BZP106" s="73"/>
      <c r="BZQ106" s="74"/>
      <c r="BZS106" s="75"/>
      <c r="BZV106" s="75"/>
      <c r="BZW106" s="72"/>
      <c r="BZX106" s="68"/>
      <c r="BZY106" s="1"/>
      <c r="BZZ106" s="73"/>
      <c r="CAA106" s="74"/>
      <c r="CAC106" s="75"/>
      <c r="CAF106" s="75"/>
      <c r="CAG106" s="72"/>
      <c r="CAH106" s="68"/>
      <c r="CAI106" s="1"/>
      <c r="CAJ106" s="73"/>
      <c r="CAK106" s="74"/>
      <c r="CAM106" s="75"/>
      <c r="CAP106" s="75"/>
      <c r="CAQ106" s="72"/>
      <c r="CAR106" s="68"/>
      <c r="CAS106" s="1"/>
      <c r="CAT106" s="73"/>
      <c r="CAU106" s="74"/>
      <c r="CAW106" s="75"/>
      <c r="CAZ106" s="75"/>
      <c r="CBA106" s="72"/>
      <c r="CBB106" s="68"/>
      <c r="CBC106" s="1"/>
      <c r="CBD106" s="73"/>
      <c r="CBE106" s="74"/>
      <c r="CBG106" s="75"/>
      <c r="CBJ106" s="75"/>
      <c r="CBK106" s="72"/>
      <c r="CBL106" s="68"/>
      <c r="CBM106" s="1"/>
      <c r="CBN106" s="73"/>
      <c r="CBO106" s="74"/>
      <c r="CBQ106" s="75"/>
      <c r="CBT106" s="75"/>
      <c r="CBU106" s="72"/>
      <c r="CBV106" s="68"/>
      <c r="CBW106" s="1"/>
      <c r="CBX106" s="73"/>
      <c r="CBY106" s="74"/>
      <c r="CCA106" s="75"/>
      <c r="CCD106" s="75"/>
      <c r="CCE106" s="72"/>
      <c r="CCF106" s="68"/>
      <c r="CCG106" s="1"/>
      <c r="CCH106" s="73"/>
      <c r="CCI106" s="74"/>
      <c r="CCK106" s="75"/>
      <c r="CCN106" s="75"/>
      <c r="CCO106" s="72"/>
      <c r="CCP106" s="68"/>
      <c r="CCQ106" s="1"/>
      <c r="CCR106" s="73"/>
      <c r="CCS106" s="74"/>
      <c r="CCU106" s="75"/>
      <c r="CCX106" s="75"/>
      <c r="CCY106" s="72"/>
      <c r="CCZ106" s="68"/>
      <c r="CDA106" s="1"/>
      <c r="CDB106" s="73"/>
      <c r="CDC106" s="74"/>
      <c r="CDE106" s="75"/>
      <c r="CDH106" s="75"/>
      <c r="CDI106" s="72"/>
      <c r="CDJ106" s="68"/>
      <c r="CDK106" s="1"/>
      <c r="CDL106" s="73"/>
      <c r="CDM106" s="74"/>
      <c r="CDO106" s="75"/>
      <c r="CDR106" s="75"/>
      <c r="CDS106" s="72"/>
      <c r="CDT106" s="68"/>
      <c r="CDU106" s="1"/>
      <c r="CDV106" s="73"/>
      <c r="CDW106" s="74"/>
      <c r="CDY106" s="75"/>
      <c r="CEB106" s="75"/>
      <c r="CEC106" s="72"/>
      <c r="CED106" s="68"/>
      <c r="CEE106" s="1"/>
      <c r="CEF106" s="73"/>
      <c r="CEG106" s="74"/>
      <c r="CEI106" s="75"/>
      <c r="CEL106" s="75"/>
      <c r="CEM106" s="72"/>
      <c r="CEN106" s="68"/>
      <c r="CEO106" s="1"/>
      <c r="CEP106" s="73"/>
      <c r="CEQ106" s="74"/>
      <c r="CES106" s="75"/>
      <c r="CEV106" s="75"/>
      <c r="CEW106" s="72"/>
      <c r="CEX106" s="68"/>
      <c r="CEY106" s="1"/>
      <c r="CEZ106" s="73"/>
      <c r="CFA106" s="74"/>
      <c r="CFC106" s="75"/>
      <c r="CFF106" s="75"/>
      <c r="CFG106" s="72"/>
      <c r="CFH106" s="68"/>
      <c r="CFI106" s="1"/>
      <c r="CFJ106" s="73"/>
      <c r="CFK106" s="74"/>
      <c r="CFM106" s="75"/>
      <c r="CFP106" s="75"/>
      <c r="CFQ106" s="72"/>
      <c r="CFR106" s="68"/>
      <c r="CFS106" s="1"/>
      <c r="CFT106" s="73"/>
      <c r="CFU106" s="74"/>
      <c r="CFW106" s="75"/>
      <c r="CFZ106" s="75"/>
      <c r="CGA106" s="72"/>
      <c r="CGB106" s="68"/>
      <c r="CGC106" s="1"/>
      <c r="CGD106" s="73"/>
      <c r="CGE106" s="74"/>
      <c r="CGG106" s="75"/>
      <c r="CGJ106" s="75"/>
      <c r="CGK106" s="72"/>
      <c r="CGL106" s="68"/>
      <c r="CGM106" s="1"/>
      <c r="CGN106" s="73"/>
      <c r="CGO106" s="74"/>
      <c r="CGQ106" s="75"/>
      <c r="CGT106" s="75"/>
      <c r="CGU106" s="72"/>
      <c r="CGV106" s="68"/>
      <c r="CGW106" s="1"/>
      <c r="CGX106" s="73"/>
      <c r="CGY106" s="74"/>
      <c r="CHA106" s="75"/>
      <c r="CHD106" s="75"/>
      <c r="CHE106" s="72"/>
      <c r="CHF106" s="68"/>
      <c r="CHG106" s="1"/>
      <c r="CHH106" s="73"/>
      <c r="CHI106" s="74"/>
      <c r="CHK106" s="75"/>
      <c r="CHN106" s="75"/>
      <c r="CHO106" s="72"/>
      <c r="CHP106" s="68"/>
      <c r="CHQ106" s="1"/>
      <c r="CHR106" s="73"/>
      <c r="CHS106" s="74"/>
      <c r="CHU106" s="75"/>
      <c r="CHX106" s="75"/>
      <c r="CHY106" s="72"/>
      <c r="CHZ106" s="68"/>
      <c r="CIA106" s="1"/>
      <c r="CIB106" s="73"/>
      <c r="CIC106" s="74"/>
      <c r="CIE106" s="75"/>
      <c r="CIH106" s="75"/>
      <c r="CII106" s="72"/>
      <c r="CIJ106" s="68"/>
      <c r="CIK106" s="1"/>
      <c r="CIL106" s="73"/>
      <c r="CIM106" s="74"/>
      <c r="CIO106" s="75"/>
      <c r="CIR106" s="75"/>
      <c r="CIS106" s="72"/>
      <c r="CIT106" s="68"/>
      <c r="CIU106" s="1"/>
      <c r="CIV106" s="73"/>
      <c r="CIW106" s="74"/>
      <c r="CIY106" s="75"/>
      <c r="CJB106" s="75"/>
      <c r="CJC106" s="72"/>
      <c r="CJD106" s="68"/>
      <c r="CJE106" s="1"/>
      <c r="CJF106" s="73"/>
      <c r="CJG106" s="74"/>
      <c r="CJI106" s="75"/>
      <c r="CJL106" s="75"/>
      <c r="CJM106" s="72"/>
      <c r="CJN106" s="68"/>
      <c r="CJO106" s="1"/>
      <c r="CJP106" s="73"/>
      <c r="CJQ106" s="74"/>
      <c r="CJS106" s="75"/>
      <c r="CJV106" s="75"/>
      <c r="CJW106" s="72"/>
      <c r="CJX106" s="68"/>
      <c r="CJY106" s="1"/>
      <c r="CJZ106" s="73"/>
      <c r="CKA106" s="74"/>
      <c r="CKC106" s="75"/>
      <c r="CKF106" s="75"/>
      <c r="CKG106" s="72"/>
      <c r="CKH106" s="68"/>
      <c r="CKI106" s="1"/>
      <c r="CKJ106" s="73"/>
      <c r="CKK106" s="74"/>
      <c r="CKM106" s="75"/>
      <c r="CKP106" s="75"/>
      <c r="CKQ106" s="72"/>
      <c r="CKR106" s="68"/>
      <c r="CKS106" s="1"/>
      <c r="CKT106" s="73"/>
      <c r="CKU106" s="74"/>
      <c r="CKW106" s="75"/>
      <c r="CKZ106" s="75"/>
      <c r="CLA106" s="72"/>
      <c r="CLB106" s="68"/>
      <c r="CLC106" s="1"/>
      <c r="CLD106" s="73"/>
      <c r="CLE106" s="74"/>
      <c r="CLG106" s="75"/>
      <c r="CLJ106" s="75"/>
      <c r="CLK106" s="72"/>
      <c r="CLL106" s="68"/>
      <c r="CLM106" s="1"/>
      <c r="CLN106" s="73"/>
      <c r="CLO106" s="74"/>
      <c r="CLQ106" s="75"/>
      <c r="CLT106" s="75"/>
      <c r="CLU106" s="72"/>
      <c r="CLV106" s="68"/>
      <c r="CLW106" s="1"/>
      <c r="CLX106" s="73"/>
      <c r="CLY106" s="74"/>
      <c r="CMA106" s="75"/>
      <c r="CMD106" s="75"/>
      <c r="CME106" s="72"/>
      <c r="CMF106" s="68"/>
      <c r="CMG106" s="1"/>
      <c r="CMH106" s="73"/>
      <c r="CMI106" s="74"/>
      <c r="CMK106" s="75"/>
      <c r="CMN106" s="75"/>
      <c r="CMO106" s="72"/>
      <c r="CMP106" s="68"/>
      <c r="CMQ106" s="1"/>
      <c r="CMR106" s="73"/>
      <c r="CMS106" s="74"/>
      <c r="CMU106" s="75"/>
      <c r="CMX106" s="75"/>
      <c r="CMY106" s="72"/>
      <c r="CMZ106" s="68"/>
      <c r="CNA106" s="1"/>
      <c r="CNB106" s="73"/>
      <c r="CNC106" s="74"/>
      <c r="CNE106" s="75"/>
      <c r="CNH106" s="75"/>
      <c r="CNI106" s="72"/>
      <c r="CNJ106" s="68"/>
      <c r="CNK106" s="1"/>
      <c r="CNL106" s="73"/>
      <c r="CNM106" s="74"/>
      <c r="CNO106" s="75"/>
      <c r="CNR106" s="75"/>
      <c r="CNS106" s="72"/>
      <c r="CNT106" s="68"/>
      <c r="CNU106" s="1"/>
      <c r="CNV106" s="73"/>
      <c r="CNW106" s="74"/>
      <c r="CNY106" s="75"/>
      <c r="COB106" s="75"/>
      <c r="COC106" s="72"/>
      <c r="COD106" s="68"/>
      <c r="COE106" s="1"/>
      <c r="COF106" s="73"/>
      <c r="COG106" s="74"/>
      <c r="COI106" s="75"/>
      <c r="COL106" s="75"/>
      <c r="COM106" s="72"/>
      <c r="CON106" s="68"/>
      <c r="COO106" s="1"/>
      <c r="COP106" s="73"/>
      <c r="COQ106" s="74"/>
      <c r="COS106" s="75"/>
      <c r="COV106" s="75"/>
      <c r="COW106" s="72"/>
      <c r="COX106" s="68"/>
      <c r="COY106" s="1"/>
      <c r="COZ106" s="73"/>
      <c r="CPA106" s="74"/>
      <c r="CPC106" s="75"/>
      <c r="CPF106" s="75"/>
      <c r="CPG106" s="72"/>
      <c r="CPH106" s="68"/>
      <c r="CPI106" s="1"/>
      <c r="CPJ106" s="73"/>
      <c r="CPK106" s="74"/>
      <c r="CPM106" s="75"/>
      <c r="CPP106" s="75"/>
      <c r="CPQ106" s="72"/>
      <c r="CPR106" s="68"/>
      <c r="CPS106" s="1"/>
      <c r="CPT106" s="73"/>
      <c r="CPU106" s="74"/>
      <c r="CPW106" s="75"/>
      <c r="CPZ106" s="75"/>
      <c r="CQA106" s="72"/>
      <c r="CQB106" s="68"/>
      <c r="CQC106" s="1"/>
      <c r="CQD106" s="73"/>
      <c r="CQE106" s="74"/>
      <c r="CQG106" s="75"/>
      <c r="CQJ106" s="75"/>
      <c r="CQK106" s="72"/>
      <c r="CQL106" s="68"/>
      <c r="CQM106" s="1"/>
      <c r="CQN106" s="73"/>
      <c r="CQO106" s="74"/>
      <c r="CQQ106" s="75"/>
      <c r="CQT106" s="75"/>
      <c r="CQU106" s="72"/>
      <c r="CQV106" s="68"/>
      <c r="CQW106" s="1"/>
      <c r="CQX106" s="73"/>
      <c r="CQY106" s="74"/>
      <c r="CRA106" s="75"/>
      <c r="CRD106" s="75"/>
      <c r="CRE106" s="72"/>
      <c r="CRF106" s="68"/>
      <c r="CRG106" s="1"/>
      <c r="CRH106" s="73"/>
      <c r="CRI106" s="74"/>
      <c r="CRK106" s="75"/>
      <c r="CRN106" s="75"/>
      <c r="CRO106" s="72"/>
      <c r="CRP106" s="68"/>
      <c r="CRQ106" s="1"/>
      <c r="CRR106" s="73"/>
      <c r="CRS106" s="74"/>
      <c r="CRU106" s="75"/>
      <c r="CRX106" s="75"/>
      <c r="CRY106" s="72"/>
      <c r="CRZ106" s="68"/>
      <c r="CSA106" s="1"/>
      <c r="CSB106" s="73"/>
      <c r="CSC106" s="74"/>
      <c r="CSE106" s="75"/>
      <c r="CSH106" s="75"/>
      <c r="CSI106" s="72"/>
      <c r="CSJ106" s="68"/>
      <c r="CSK106" s="1"/>
      <c r="CSL106" s="73"/>
      <c r="CSM106" s="74"/>
      <c r="CSO106" s="75"/>
      <c r="CSR106" s="75"/>
      <c r="CSS106" s="72"/>
      <c r="CST106" s="68"/>
      <c r="CSU106" s="1"/>
      <c r="CSV106" s="73"/>
      <c r="CSW106" s="74"/>
      <c r="CSY106" s="75"/>
      <c r="CTB106" s="75"/>
      <c r="CTC106" s="72"/>
      <c r="CTD106" s="68"/>
      <c r="CTE106" s="1"/>
      <c r="CTF106" s="73"/>
      <c r="CTG106" s="74"/>
      <c r="CTI106" s="75"/>
      <c r="CTL106" s="75"/>
      <c r="CTM106" s="72"/>
      <c r="CTN106" s="68"/>
      <c r="CTO106" s="1"/>
      <c r="CTP106" s="73"/>
      <c r="CTQ106" s="74"/>
      <c r="CTS106" s="75"/>
      <c r="CTV106" s="75"/>
      <c r="CTW106" s="72"/>
      <c r="CTX106" s="68"/>
      <c r="CTY106" s="1"/>
      <c r="CTZ106" s="73"/>
      <c r="CUA106" s="74"/>
      <c r="CUC106" s="75"/>
      <c r="CUF106" s="75"/>
      <c r="CUG106" s="72"/>
      <c r="CUH106" s="68"/>
      <c r="CUI106" s="1"/>
      <c r="CUJ106" s="73"/>
      <c r="CUK106" s="74"/>
      <c r="CUM106" s="75"/>
      <c r="CUP106" s="75"/>
      <c r="CUQ106" s="72"/>
      <c r="CUR106" s="68"/>
      <c r="CUS106" s="1"/>
      <c r="CUT106" s="73"/>
      <c r="CUU106" s="74"/>
      <c r="CUW106" s="75"/>
      <c r="CUZ106" s="75"/>
      <c r="CVA106" s="72"/>
      <c r="CVB106" s="68"/>
      <c r="CVC106" s="1"/>
      <c r="CVD106" s="73"/>
      <c r="CVE106" s="74"/>
      <c r="CVG106" s="75"/>
      <c r="CVJ106" s="75"/>
      <c r="CVK106" s="72"/>
      <c r="CVL106" s="68"/>
      <c r="CVM106" s="1"/>
      <c r="CVN106" s="73"/>
      <c r="CVO106" s="74"/>
      <c r="CVQ106" s="75"/>
      <c r="CVT106" s="75"/>
      <c r="CVU106" s="72"/>
      <c r="CVV106" s="68"/>
      <c r="CVW106" s="1"/>
      <c r="CVX106" s="73"/>
      <c r="CVY106" s="74"/>
      <c r="CWA106" s="75"/>
      <c r="CWD106" s="75"/>
      <c r="CWE106" s="72"/>
      <c r="CWF106" s="68"/>
      <c r="CWG106" s="1"/>
      <c r="CWH106" s="73"/>
      <c r="CWI106" s="74"/>
      <c r="CWK106" s="75"/>
      <c r="CWN106" s="75"/>
      <c r="CWO106" s="72"/>
      <c r="CWP106" s="68"/>
      <c r="CWQ106" s="1"/>
      <c r="CWR106" s="73"/>
      <c r="CWS106" s="74"/>
      <c r="CWU106" s="75"/>
      <c r="CWX106" s="75"/>
      <c r="CWY106" s="72"/>
      <c r="CWZ106" s="68"/>
      <c r="CXA106" s="1"/>
      <c r="CXB106" s="73"/>
      <c r="CXC106" s="74"/>
      <c r="CXE106" s="75"/>
      <c r="CXH106" s="75"/>
      <c r="CXI106" s="72"/>
      <c r="CXJ106" s="68"/>
      <c r="CXK106" s="1"/>
      <c r="CXL106" s="73"/>
      <c r="CXM106" s="74"/>
      <c r="CXO106" s="75"/>
      <c r="CXR106" s="75"/>
      <c r="CXS106" s="72"/>
      <c r="CXT106" s="68"/>
      <c r="CXU106" s="1"/>
      <c r="CXV106" s="73"/>
      <c r="CXW106" s="74"/>
      <c r="CXY106" s="75"/>
      <c r="CYB106" s="75"/>
      <c r="CYC106" s="72"/>
      <c r="CYD106" s="68"/>
      <c r="CYE106" s="1"/>
      <c r="CYF106" s="73"/>
      <c r="CYG106" s="74"/>
      <c r="CYI106" s="75"/>
      <c r="CYL106" s="75"/>
      <c r="CYM106" s="72"/>
      <c r="CYN106" s="68"/>
      <c r="CYO106" s="1"/>
      <c r="CYP106" s="73"/>
      <c r="CYQ106" s="74"/>
      <c r="CYS106" s="75"/>
      <c r="CYV106" s="75"/>
      <c r="CYW106" s="72"/>
      <c r="CYX106" s="68"/>
      <c r="CYY106" s="1"/>
      <c r="CYZ106" s="73"/>
      <c r="CZA106" s="74"/>
      <c r="CZC106" s="75"/>
      <c r="CZF106" s="75"/>
      <c r="CZG106" s="72"/>
      <c r="CZH106" s="68"/>
      <c r="CZI106" s="1"/>
      <c r="CZJ106" s="73"/>
      <c r="CZK106" s="74"/>
      <c r="CZM106" s="75"/>
      <c r="CZP106" s="75"/>
      <c r="CZQ106" s="72"/>
      <c r="CZR106" s="68"/>
      <c r="CZS106" s="1"/>
      <c r="CZT106" s="73"/>
      <c r="CZU106" s="74"/>
      <c r="CZW106" s="75"/>
      <c r="CZZ106" s="75"/>
      <c r="DAA106" s="72"/>
      <c r="DAB106" s="68"/>
      <c r="DAC106" s="1"/>
      <c r="DAD106" s="73"/>
      <c r="DAE106" s="74"/>
      <c r="DAG106" s="75"/>
      <c r="DAJ106" s="75"/>
      <c r="DAK106" s="72"/>
      <c r="DAL106" s="68"/>
      <c r="DAM106" s="1"/>
      <c r="DAN106" s="73"/>
      <c r="DAO106" s="74"/>
      <c r="DAQ106" s="75"/>
      <c r="DAT106" s="75"/>
      <c r="DAU106" s="72"/>
      <c r="DAV106" s="68"/>
      <c r="DAW106" s="1"/>
      <c r="DAX106" s="73"/>
      <c r="DAY106" s="74"/>
      <c r="DBA106" s="75"/>
      <c r="DBD106" s="75"/>
      <c r="DBE106" s="72"/>
      <c r="DBF106" s="68"/>
      <c r="DBG106" s="1"/>
      <c r="DBH106" s="73"/>
      <c r="DBI106" s="74"/>
      <c r="DBK106" s="75"/>
      <c r="DBN106" s="75"/>
      <c r="DBO106" s="72"/>
      <c r="DBP106" s="68"/>
      <c r="DBQ106" s="1"/>
      <c r="DBR106" s="73"/>
      <c r="DBS106" s="74"/>
      <c r="DBU106" s="75"/>
      <c r="DBX106" s="75"/>
      <c r="DBY106" s="72"/>
      <c r="DBZ106" s="68"/>
      <c r="DCA106" s="1"/>
      <c r="DCB106" s="73"/>
      <c r="DCC106" s="74"/>
      <c r="DCE106" s="75"/>
      <c r="DCH106" s="75"/>
      <c r="DCI106" s="72"/>
      <c r="DCJ106" s="68"/>
      <c r="DCK106" s="1"/>
      <c r="DCL106" s="73"/>
      <c r="DCM106" s="74"/>
      <c r="DCO106" s="75"/>
      <c r="DCR106" s="75"/>
      <c r="DCS106" s="72"/>
      <c r="DCT106" s="68"/>
      <c r="DCU106" s="1"/>
      <c r="DCV106" s="73"/>
      <c r="DCW106" s="74"/>
      <c r="DCY106" s="75"/>
      <c r="DDB106" s="75"/>
      <c r="DDC106" s="72"/>
      <c r="DDD106" s="68"/>
      <c r="DDE106" s="1"/>
      <c r="DDF106" s="73"/>
      <c r="DDG106" s="74"/>
      <c r="DDI106" s="75"/>
      <c r="DDL106" s="75"/>
      <c r="DDM106" s="72"/>
      <c r="DDN106" s="68"/>
      <c r="DDO106" s="1"/>
      <c r="DDP106" s="73"/>
      <c r="DDQ106" s="74"/>
      <c r="DDS106" s="75"/>
      <c r="DDV106" s="75"/>
      <c r="DDW106" s="72"/>
      <c r="DDX106" s="68"/>
      <c r="DDY106" s="1"/>
      <c r="DDZ106" s="73"/>
      <c r="DEA106" s="74"/>
      <c r="DEC106" s="75"/>
      <c r="DEF106" s="75"/>
      <c r="DEG106" s="72"/>
      <c r="DEH106" s="68"/>
      <c r="DEI106" s="1"/>
      <c r="DEJ106" s="73"/>
      <c r="DEK106" s="74"/>
      <c r="DEM106" s="75"/>
      <c r="DEP106" s="75"/>
      <c r="DEQ106" s="72"/>
      <c r="DER106" s="68"/>
      <c r="DES106" s="1"/>
      <c r="DET106" s="73"/>
      <c r="DEU106" s="74"/>
      <c r="DEW106" s="75"/>
      <c r="DEZ106" s="75"/>
      <c r="DFA106" s="72"/>
      <c r="DFB106" s="68"/>
      <c r="DFC106" s="1"/>
      <c r="DFD106" s="73"/>
      <c r="DFE106" s="74"/>
      <c r="DFG106" s="75"/>
      <c r="DFJ106" s="75"/>
      <c r="DFK106" s="72"/>
      <c r="DFL106" s="68"/>
      <c r="DFM106" s="1"/>
      <c r="DFN106" s="73"/>
      <c r="DFO106" s="74"/>
      <c r="DFQ106" s="75"/>
      <c r="DFT106" s="75"/>
      <c r="DFU106" s="72"/>
      <c r="DFV106" s="68"/>
      <c r="DFW106" s="1"/>
      <c r="DFX106" s="73"/>
      <c r="DFY106" s="74"/>
      <c r="DGA106" s="75"/>
      <c r="DGD106" s="75"/>
      <c r="DGE106" s="72"/>
      <c r="DGF106" s="68"/>
      <c r="DGG106" s="1"/>
      <c r="DGH106" s="73"/>
      <c r="DGI106" s="74"/>
      <c r="DGK106" s="75"/>
      <c r="DGN106" s="75"/>
      <c r="DGO106" s="72"/>
      <c r="DGP106" s="68"/>
      <c r="DGQ106" s="1"/>
      <c r="DGR106" s="73"/>
      <c r="DGS106" s="74"/>
      <c r="DGU106" s="75"/>
      <c r="DGX106" s="75"/>
      <c r="DGY106" s="72"/>
      <c r="DGZ106" s="68"/>
      <c r="DHA106" s="1"/>
      <c r="DHB106" s="73"/>
      <c r="DHC106" s="74"/>
      <c r="DHE106" s="75"/>
      <c r="DHH106" s="75"/>
      <c r="DHI106" s="72"/>
      <c r="DHJ106" s="68"/>
      <c r="DHK106" s="1"/>
      <c r="DHL106" s="73"/>
      <c r="DHM106" s="74"/>
      <c r="DHO106" s="75"/>
      <c r="DHR106" s="75"/>
      <c r="DHS106" s="72"/>
      <c r="DHT106" s="68"/>
      <c r="DHU106" s="1"/>
      <c r="DHV106" s="73"/>
      <c r="DHW106" s="74"/>
      <c r="DHY106" s="75"/>
      <c r="DIB106" s="75"/>
      <c r="DIC106" s="72"/>
      <c r="DID106" s="68"/>
      <c r="DIE106" s="1"/>
      <c r="DIF106" s="73"/>
      <c r="DIG106" s="74"/>
      <c r="DII106" s="75"/>
      <c r="DIL106" s="75"/>
      <c r="DIM106" s="72"/>
      <c r="DIN106" s="68"/>
      <c r="DIO106" s="1"/>
      <c r="DIP106" s="73"/>
      <c r="DIQ106" s="74"/>
      <c r="DIS106" s="75"/>
      <c r="DIV106" s="75"/>
      <c r="DIW106" s="72"/>
      <c r="DIX106" s="68"/>
      <c r="DIY106" s="1"/>
      <c r="DIZ106" s="73"/>
      <c r="DJA106" s="74"/>
      <c r="DJC106" s="75"/>
      <c r="DJF106" s="75"/>
      <c r="DJG106" s="72"/>
      <c r="DJH106" s="68"/>
      <c r="DJI106" s="1"/>
      <c r="DJJ106" s="73"/>
      <c r="DJK106" s="74"/>
      <c r="DJM106" s="75"/>
      <c r="DJP106" s="75"/>
      <c r="DJQ106" s="72"/>
      <c r="DJR106" s="68"/>
      <c r="DJS106" s="1"/>
      <c r="DJT106" s="73"/>
      <c r="DJU106" s="74"/>
      <c r="DJW106" s="75"/>
      <c r="DJZ106" s="75"/>
      <c r="DKA106" s="72"/>
      <c r="DKB106" s="68"/>
      <c r="DKC106" s="1"/>
      <c r="DKD106" s="73"/>
      <c r="DKE106" s="74"/>
      <c r="DKG106" s="75"/>
      <c r="DKJ106" s="75"/>
      <c r="DKK106" s="72"/>
      <c r="DKL106" s="68"/>
      <c r="DKM106" s="1"/>
      <c r="DKN106" s="73"/>
      <c r="DKO106" s="74"/>
      <c r="DKQ106" s="75"/>
      <c r="DKT106" s="75"/>
      <c r="DKU106" s="72"/>
      <c r="DKV106" s="68"/>
      <c r="DKW106" s="1"/>
      <c r="DKX106" s="73"/>
      <c r="DKY106" s="74"/>
      <c r="DLA106" s="75"/>
      <c r="DLD106" s="75"/>
      <c r="DLE106" s="72"/>
      <c r="DLF106" s="68"/>
      <c r="DLG106" s="1"/>
      <c r="DLH106" s="73"/>
      <c r="DLI106" s="74"/>
      <c r="DLK106" s="75"/>
      <c r="DLN106" s="75"/>
      <c r="DLO106" s="72"/>
      <c r="DLP106" s="68"/>
      <c r="DLQ106" s="1"/>
      <c r="DLR106" s="73"/>
      <c r="DLS106" s="74"/>
      <c r="DLU106" s="75"/>
      <c r="DLX106" s="75"/>
      <c r="DLY106" s="72"/>
      <c r="DLZ106" s="68"/>
      <c r="DMA106" s="1"/>
      <c r="DMB106" s="73"/>
      <c r="DMC106" s="74"/>
      <c r="DME106" s="75"/>
      <c r="DMH106" s="75"/>
      <c r="DMI106" s="72"/>
      <c r="DMJ106" s="68"/>
      <c r="DMK106" s="1"/>
      <c r="DML106" s="73"/>
      <c r="DMM106" s="74"/>
      <c r="DMO106" s="75"/>
      <c r="DMR106" s="75"/>
      <c r="DMS106" s="72"/>
      <c r="DMT106" s="68"/>
      <c r="DMU106" s="1"/>
      <c r="DMV106" s="73"/>
      <c r="DMW106" s="74"/>
      <c r="DMY106" s="75"/>
      <c r="DNB106" s="75"/>
      <c r="DNC106" s="72"/>
      <c r="DND106" s="68"/>
      <c r="DNE106" s="1"/>
      <c r="DNF106" s="73"/>
      <c r="DNG106" s="74"/>
      <c r="DNI106" s="75"/>
      <c r="DNL106" s="75"/>
      <c r="DNM106" s="72"/>
      <c r="DNN106" s="68"/>
      <c r="DNO106" s="1"/>
      <c r="DNP106" s="73"/>
      <c r="DNQ106" s="74"/>
      <c r="DNS106" s="75"/>
      <c r="DNV106" s="75"/>
      <c r="DNW106" s="72"/>
      <c r="DNX106" s="68"/>
      <c r="DNY106" s="1"/>
      <c r="DNZ106" s="73"/>
      <c r="DOA106" s="74"/>
      <c r="DOC106" s="75"/>
      <c r="DOF106" s="75"/>
      <c r="DOG106" s="72"/>
      <c r="DOH106" s="68"/>
      <c r="DOI106" s="1"/>
      <c r="DOJ106" s="73"/>
      <c r="DOK106" s="74"/>
      <c r="DOM106" s="75"/>
      <c r="DOP106" s="75"/>
      <c r="DOQ106" s="72"/>
      <c r="DOR106" s="68"/>
      <c r="DOS106" s="1"/>
      <c r="DOT106" s="73"/>
      <c r="DOU106" s="74"/>
      <c r="DOW106" s="75"/>
      <c r="DOZ106" s="75"/>
      <c r="DPA106" s="72"/>
      <c r="DPB106" s="68"/>
      <c r="DPC106" s="1"/>
      <c r="DPD106" s="73"/>
      <c r="DPE106" s="74"/>
      <c r="DPG106" s="75"/>
      <c r="DPJ106" s="75"/>
      <c r="DPK106" s="72"/>
      <c r="DPL106" s="68"/>
      <c r="DPM106" s="1"/>
      <c r="DPN106" s="73"/>
      <c r="DPO106" s="74"/>
      <c r="DPQ106" s="75"/>
      <c r="DPT106" s="75"/>
      <c r="DPU106" s="72"/>
      <c r="DPV106" s="68"/>
      <c r="DPW106" s="1"/>
      <c r="DPX106" s="73"/>
      <c r="DPY106" s="74"/>
      <c r="DQA106" s="75"/>
      <c r="DQD106" s="75"/>
      <c r="DQE106" s="72"/>
      <c r="DQF106" s="68"/>
      <c r="DQG106" s="1"/>
      <c r="DQH106" s="73"/>
      <c r="DQI106" s="74"/>
      <c r="DQK106" s="75"/>
      <c r="DQN106" s="75"/>
      <c r="DQO106" s="72"/>
      <c r="DQP106" s="68"/>
      <c r="DQQ106" s="1"/>
      <c r="DQR106" s="73"/>
      <c r="DQS106" s="74"/>
      <c r="DQU106" s="75"/>
      <c r="DQX106" s="75"/>
      <c r="DQY106" s="72"/>
      <c r="DQZ106" s="68"/>
      <c r="DRA106" s="1"/>
      <c r="DRB106" s="73"/>
      <c r="DRC106" s="74"/>
      <c r="DRE106" s="75"/>
      <c r="DRH106" s="75"/>
      <c r="DRI106" s="72"/>
      <c r="DRJ106" s="68"/>
      <c r="DRK106" s="1"/>
      <c r="DRL106" s="73"/>
      <c r="DRM106" s="74"/>
      <c r="DRO106" s="75"/>
      <c r="DRR106" s="75"/>
      <c r="DRS106" s="72"/>
      <c r="DRT106" s="68"/>
      <c r="DRU106" s="1"/>
      <c r="DRV106" s="73"/>
      <c r="DRW106" s="74"/>
      <c r="DRY106" s="75"/>
      <c r="DSB106" s="75"/>
      <c r="DSC106" s="72"/>
      <c r="DSD106" s="68"/>
      <c r="DSE106" s="1"/>
      <c r="DSF106" s="73"/>
      <c r="DSG106" s="74"/>
      <c r="DSI106" s="75"/>
      <c r="DSL106" s="75"/>
      <c r="DSM106" s="72"/>
      <c r="DSN106" s="68"/>
      <c r="DSO106" s="1"/>
      <c r="DSP106" s="73"/>
      <c r="DSQ106" s="74"/>
      <c r="DSS106" s="75"/>
      <c r="DSV106" s="75"/>
      <c r="DSW106" s="72"/>
      <c r="DSX106" s="68"/>
      <c r="DSY106" s="1"/>
      <c r="DSZ106" s="73"/>
      <c r="DTA106" s="74"/>
      <c r="DTC106" s="75"/>
      <c r="DTF106" s="75"/>
      <c r="DTG106" s="72"/>
      <c r="DTH106" s="68"/>
      <c r="DTI106" s="1"/>
      <c r="DTJ106" s="73"/>
      <c r="DTK106" s="74"/>
      <c r="DTM106" s="75"/>
      <c r="DTP106" s="75"/>
      <c r="DTQ106" s="72"/>
      <c r="DTR106" s="68"/>
      <c r="DTS106" s="1"/>
      <c r="DTT106" s="73"/>
      <c r="DTU106" s="74"/>
      <c r="DTW106" s="75"/>
      <c r="DTZ106" s="75"/>
      <c r="DUA106" s="72"/>
      <c r="DUB106" s="68"/>
      <c r="DUC106" s="1"/>
      <c r="DUD106" s="73"/>
      <c r="DUE106" s="74"/>
      <c r="DUG106" s="75"/>
      <c r="DUJ106" s="75"/>
      <c r="DUK106" s="72"/>
      <c r="DUL106" s="68"/>
      <c r="DUM106" s="1"/>
      <c r="DUN106" s="73"/>
      <c r="DUO106" s="74"/>
      <c r="DUQ106" s="75"/>
      <c r="DUT106" s="75"/>
      <c r="DUU106" s="72"/>
      <c r="DUV106" s="68"/>
      <c r="DUW106" s="1"/>
      <c r="DUX106" s="73"/>
      <c r="DUY106" s="74"/>
      <c r="DVA106" s="75"/>
      <c r="DVD106" s="75"/>
      <c r="DVE106" s="72"/>
      <c r="DVF106" s="68"/>
      <c r="DVG106" s="1"/>
      <c r="DVH106" s="73"/>
      <c r="DVI106" s="74"/>
      <c r="DVK106" s="75"/>
      <c r="DVN106" s="75"/>
      <c r="DVO106" s="72"/>
      <c r="DVP106" s="68"/>
      <c r="DVQ106" s="1"/>
      <c r="DVR106" s="73"/>
      <c r="DVS106" s="74"/>
      <c r="DVU106" s="75"/>
      <c r="DVX106" s="75"/>
      <c r="DVY106" s="72"/>
      <c r="DVZ106" s="68"/>
      <c r="DWA106" s="1"/>
      <c r="DWB106" s="73"/>
      <c r="DWC106" s="74"/>
      <c r="DWE106" s="75"/>
      <c r="DWH106" s="75"/>
      <c r="DWI106" s="72"/>
      <c r="DWJ106" s="68"/>
      <c r="DWK106" s="1"/>
      <c r="DWL106" s="73"/>
      <c r="DWM106" s="74"/>
      <c r="DWO106" s="75"/>
      <c r="DWR106" s="75"/>
      <c r="DWS106" s="72"/>
      <c r="DWT106" s="68"/>
      <c r="DWU106" s="1"/>
      <c r="DWV106" s="73"/>
      <c r="DWW106" s="74"/>
      <c r="DWY106" s="75"/>
      <c r="DXB106" s="75"/>
      <c r="DXC106" s="72"/>
      <c r="DXD106" s="68"/>
      <c r="DXE106" s="1"/>
      <c r="DXF106" s="73"/>
      <c r="DXG106" s="74"/>
      <c r="DXI106" s="75"/>
      <c r="DXL106" s="75"/>
      <c r="DXM106" s="72"/>
      <c r="DXN106" s="68"/>
      <c r="DXO106" s="1"/>
      <c r="DXP106" s="73"/>
      <c r="DXQ106" s="74"/>
      <c r="DXS106" s="75"/>
      <c r="DXV106" s="75"/>
      <c r="DXW106" s="72"/>
      <c r="DXX106" s="68"/>
      <c r="DXY106" s="1"/>
      <c r="DXZ106" s="73"/>
      <c r="DYA106" s="74"/>
      <c r="DYC106" s="75"/>
      <c r="DYF106" s="75"/>
      <c r="DYG106" s="72"/>
      <c r="DYH106" s="68"/>
      <c r="DYI106" s="1"/>
      <c r="DYJ106" s="73"/>
      <c r="DYK106" s="74"/>
      <c r="DYM106" s="75"/>
      <c r="DYP106" s="75"/>
      <c r="DYQ106" s="72"/>
      <c r="DYR106" s="68"/>
      <c r="DYS106" s="1"/>
      <c r="DYT106" s="73"/>
      <c r="DYU106" s="74"/>
      <c r="DYW106" s="75"/>
      <c r="DYZ106" s="75"/>
      <c r="DZA106" s="72"/>
      <c r="DZB106" s="68"/>
      <c r="DZC106" s="1"/>
      <c r="DZD106" s="73"/>
      <c r="DZE106" s="74"/>
      <c r="DZG106" s="75"/>
      <c r="DZJ106" s="75"/>
      <c r="DZK106" s="72"/>
      <c r="DZL106" s="68"/>
      <c r="DZM106" s="1"/>
      <c r="DZN106" s="73"/>
      <c r="DZO106" s="74"/>
      <c r="DZQ106" s="75"/>
      <c r="DZT106" s="75"/>
      <c r="DZU106" s="72"/>
      <c r="DZV106" s="68"/>
      <c r="DZW106" s="1"/>
      <c r="DZX106" s="73"/>
      <c r="DZY106" s="74"/>
      <c r="EAA106" s="75"/>
      <c r="EAD106" s="75"/>
      <c r="EAE106" s="72"/>
      <c r="EAF106" s="68"/>
      <c r="EAG106" s="1"/>
      <c r="EAH106" s="73"/>
      <c r="EAI106" s="74"/>
      <c r="EAK106" s="75"/>
      <c r="EAN106" s="75"/>
      <c r="EAO106" s="72"/>
      <c r="EAP106" s="68"/>
      <c r="EAQ106" s="1"/>
      <c r="EAR106" s="73"/>
      <c r="EAS106" s="74"/>
      <c r="EAU106" s="75"/>
      <c r="EAX106" s="75"/>
      <c r="EAY106" s="72"/>
      <c r="EAZ106" s="68"/>
      <c r="EBA106" s="1"/>
      <c r="EBB106" s="73"/>
      <c r="EBC106" s="74"/>
      <c r="EBE106" s="75"/>
      <c r="EBH106" s="75"/>
      <c r="EBI106" s="72"/>
      <c r="EBJ106" s="68"/>
      <c r="EBK106" s="1"/>
      <c r="EBL106" s="73"/>
      <c r="EBM106" s="74"/>
      <c r="EBO106" s="75"/>
      <c r="EBR106" s="75"/>
      <c r="EBS106" s="72"/>
      <c r="EBT106" s="68"/>
      <c r="EBU106" s="1"/>
      <c r="EBV106" s="73"/>
      <c r="EBW106" s="74"/>
      <c r="EBY106" s="75"/>
      <c r="ECB106" s="75"/>
      <c r="ECC106" s="72"/>
      <c r="ECD106" s="68"/>
      <c r="ECE106" s="1"/>
      <c r="ECF106" s="73"/>
      <c r="ECG106" s="74"/>
      <c r="ECI106" s="75"/>
      <c r="ECL106" s="75"/>
      <c r="ECM106" s="72"/>
      <c r="ECN106" s="68"/>
      <c r="ECO106" s="1"/>
      <c r="ECP106" s="73"/>
      <c r="ECQ106" s="74"/>
      <c r="ECS106" s="75"/>
      <c r="ECV106" s="75"/>
      <c r="ECW106" s="72"/>
      <c r="ECX106" s="68"/>
      <c r="ECY106" s="1"/>
      <c r="ECZ106" s="73"/>
      <c r="EDA106" s="74"/>
      <c r="EDC106" s="75"/>
      <c r="EDF106" s="75"/>
      <c r="EDG106" s="72"/>
      <c r="EDH106" s="68"/>
      <c r="EDI106" s="1"/>
      <c r="EDJ106" s="73"/>
      <c r="EDK106" s="74"/>
      <c r="EDM106" s="75"/>
      <c r="EDP106" s="75"/>
      <c r="EDQ106" s="72"/>
      <c r="EDR106" s="68"/>
      <c r="EDS106" s="1"/>
      <c r="EDT106" s="73"/>
      <c r="EDU106" s="74"/>
      <c r="EDW106" s="75"/>
      <c r="EDZ106" s="75"/>
      <c r="EEA106" s="72"/>
      <c r="EEB106" s="68"/>
      <c r="EEC106" s="1"/>
      <c r="EED106" s="73"/>
      <c r="EEE106" s="74"/>
      <c r="EEG106" s="75"/>
      <c r="EEJ106" s="75"/>
      <c r="EEK106" s="72"/>
      <c r="EEL106" s="68"/>
      <c r="EEM106" s="1"/>
      <c r="EEN106" s="73"/>
      <c r="EEO106" s="74"/>
      <c r="EEQ106" s="75"/>
      <c r="EET106" s="75"/>
      <c r="EEU106" s="72"/>
      <c r="EEV106" s="68"/>
      <c r="EEW106" s="1"/>
      <c r="EEX106" s="73"/>
      <c r="EEY106" s="74"/>
      <c r="EFA106" s="75"/>
      <c r="EFD106" s="75"/>
      <c r="EFE106" s="72"/>
      <c r="EFF106" s="68"/>
      <c r="EFG106" s="1"/>
      <c r="EFH106" s="73"/>
      <c r="EFI106" s="74"/>
      <c r="EFK106" s="75"/>
      <c r="EFN106" s="75"/>
      <c r="EFO106" s="72"/>
      <c r="EFP106" s="68"/>
      <c r="EFQ106" s="1"/>
      <c r="EFR106" s="73"/>
      <c r="EFS106" s="74"/>
      <c r="EFU106" s="75"/>
      <c r="EFX106" s="75"/>
      <c r="EFY106" s="72"/>
      <c r="EFZ106" s="68"/>
      <c r="EGA106" s="1"/>
      <c r="EGB106" s="73"/>
      <c r="EGC106" s="74"/>
      <c r="EGE106" s="75"/>
      <c r="EGH106" s="75"/>
      <c r="EGI106" s="72"/>
      <c r="EGJ106" s="68"/>
      <c r="EGK106" s="1"/>
      <c r="EGL106" s="73"/>
      <c r="EGM106" s="74"/>
      <c r="EGO106" s="75"/>
      <c r="EGR106" s="75"/>
      <c r="EGS106" s="72"/>
      <c r="EGT106" s="68"/>
      <c r="EGU106" s="1"/>
      <c r="EGV106" s="73"/>
      <c r="EGW106" s="74"/>
      <c r="EGY106" s="75"/>
      <c r="EHB106" s="75"/>
      <c r="EHC106" s="72"/>
      <c r="EHD106" s="68"/>
      <c r="EHE106" s="1"/>
      <c r="EHF106" s="73"/>
      <c r="EHG106" s="74"/>
      <c r="EHI106" s="75"/>
      <c r="EHL106" s="75"/>
      <c r="EHM106" s="72"/>
      <c r="EHN106" s="68"/>
      <c r="EHO106" s="1"/>
      <c r="EHP106" s="73"/>
      <c r="EHQ106" s="74"/>
      <c r="EHS106" s="75"/>
      <c r="EHV106" s="75"/>
      <c r="EHW106" s="72"/>
      <c r="EHX106" s="68"/>
      <c r="EHY106" s="1"/>
      <c r="EHZ106" s="73"/>
      <c r="EIA106" s="74"/>
      <c r="EIC106" s="75"/>
      <c r="EIF106" s="75"/>
      <c r="EIG106" s="72"/>
      <c r="EIH106" s="68"/>
      <c r="EII106" s="1"/>
      <c r="EIJ106" s="73"/>
      <c r="EIK106" s="74"/>
      <c r="EIM106" s="75"/>
      <c r="EIP106" s="75"/>
      <c r="EIQ106" s="72"/>
      <c r="EIR106" s="68"/>
      <c r="EIS106" s="1"/>
      <c r="EIT106" s="73"/>
      <c r="EIU106" s="74"/>
      <c r="EIW106" s="75"/>
      <c r="EIZ106" s="75"/>
      <c r="EJA106" s="72"/>
      <c r="EJB106" s="68"/>
      <c r="EJC106" s="1"/>
      <c r="EJD106" s="73"/>
      <c r="EJE106" s="74"/>
      <c r="EJG106" s="75"/>
      <c r="EJJ106" s="75"/>
      <c r="EJK106" s="72"/>
      <c r="EJL106" s="68"/>
      <c r="EJM106" s="1"/>
      <c r="EJN106" s="73"/>
      <c r="EJO106" s="74"/>
      <c r="EJQ106" s="75"/>
      <c r="EJT106" s="75"/>
      <c r="EJU106" s="72"/>
      <c r="EJV106" s="68"/>
      <c r="EJW106" s="1"/>
      <c r="EJX106" s="73"/>
      <c r="EJY106" s="74"/>
      <c r="EKA106" s="75"/>
      <c r="EKD106" s="75"/>
      <c r="EKE106" s="72"/>
      <c r="EKF106" s="68"/>
      <c r="EKG106" s="1"/>
      <c r="EKH106" s="73"/>
      <c r="EKI106" s="74"/>
      <c r="EKK106" s="75"/>
      <c r="EKN106" s="75"/>
      <c r="EKO106" s="72"/>
      <c r="EKP106" s="68"/>
      <c r="EKQ106" s="1"/>
      <c r="EKR106" s="73"/>
      <c r="EKS106" s="74"/>
      <c r="EKU106" s="75"/>
      <c r="EKX106" s="75"/>
      <c r="EKY106" s="72"/>
      <c r="EKZ106" s="68"/>
      <c r="ELA106" s="1"/>
      <c r="ELB106" s="73"/>
      <c r="ELC106" s="74"/>
      <c r="ELE106" s="75"/>
      <c r="ELH106" s="75"/>
      <c r="ELI106" s="72"/>
      <c r="ELJ106" s="68"/>
      <c r="ELK106" s="1"/>
      <c r="ELL106" s="73"/>
      <c r="ELM106" s="74"/>
      <c r="ELO106" s="75"/>
      <c r="ELR106" s="75"/>
      <c r="ELS106" s="72"/>
      <c r="ELT106" s="68"/>
      <c r="ELU106" s="1"/>
      <c r="ELV106" s="73"/>
      <c r="ELW106" s="74"/>
      <c r="ELY106" s="75"/>
      <c r="EMB106" s="75"/>
      <c r="EMC106" s="72"/>
      <c r="EMD106" s="68"/>
      <c r="EME106" s="1"/>
      <c r="EMF106" s="73"/>
      <c r="EMG106" s="74"/>
      <c r="EMI106" s="75"/>
      <c r="EML106" s="75"/>
      <c r="EMM106" s="72"/>
      <c r="EMN106" s="68"/>
      <c r="EMO106" s="1"/>
      <c r="EMP106" s="73"/>
      <c r="EMQ106" s="74"/>
      <c r="EMS106" s="75"/>
      <c r="EMV106" s="75"/>
      <c r="EMW106" s="72"/>
      <c r="EMX106" s="68"/>
      <c r="EMY106" s="1"/>
      <c r="EMZ106" s="73"/>
      <c r="ENA106" s="74"/>
      <c r="ENC106" s="75"/>
      <c r="ENF106" s="75"/>
      <c r="ENG106" s="72"/>
      <c r="ENH106" s="68"/>
      <c r="ENI106" s="1"/>
      <c r="ENJ106" s="73"/>
      <c r="ENK106" s="74"/>
      <c r="ENM106" s="75"/>
      <c r="ENP106" s="75"/>
      <c r="ENQ106" s="72"/>
      <c r="ENR106" s="68"/>
      <c r="ENS106" s="1"/>
      <c r="ENT106" s="73"/>
      <c r="ENU106" s="74"/>
      <c r="ENW106" s="75"/>
      <c r="ENZ106" s="75"/>
      <c r="EOA106" s="72"/>
      <c r="EOB106" s="68"/>
      <c r="EOC106" s="1"/>
      <c r="EOD106" s="73"/>
      <c r="EOE106" s="74"/>
      <c r="EOG106" s="75"/>
      <c r="EOJ106" s="75"/>
      <c r="EOK106" s="72"/>
      <c r="EOL106" s="68"/>
      <c r="EOM106" s="1"/>
      <c r="EON106" s="73"/>
      <c r="EOO106" s="74"/>
      <c r="EOQ106" s="75"/>
      <c r="EOT106" s="75"/>
      <c r="EOU106" s="72"/>
      <c r="EOV106" s="68"/>
      <c r="EOW106" s="1"/>
      <c r="EOX106" s="73"/>
      <c r="EOY106" s="74"/>
      <c r="EPA106" s="75"/>
      <c r="EPD106" s="75"/>
      <c r="EPE106" s="72"/>
      <c r="EPF106" s="68"/>
      <c r="EPG106" s="1"/>
      <c r="EPH106" s="73"/>
      <c r="EPI106" s="74"/>
      <c r="EPK106" s="75"/>
      <c r="EPN106" s="75"/>
      <c r="EPO106" s="72"/>
      <c r="EPP106" s="68"/>
      <c r="EPQ106" s="1"/>
      <c r="EPR106" s="73"/>
      <c r="EPS106" s="74"/>
      <c r="EPU106" s="75"/>
      <c r="EPX106" s="75"/>
      <c r="EPY106" s="72"/>
      <c r="EPZ106" s="68"/>
      <c r="EQA106" s="1"/>
      <c r="EQB106" s="73"/>
      <c r="EQC106" s="74"/>
      <c r="EQE106" s="75"/>
      <c r="EQH106" s="75"/>
      <c r="EQI106" s="72"/>
      <c r="EQJ106" s="68"/>
      <c r="EQK106" s="1"/>
      <c r="EQL106" s="73"/>
      <c r="EQM106" s="74"/>
      <c r="EQO106" s="75"/>
      <c r="EQR106" s="75"/>
      <c r="EQS106" s="72"/>
      <c r="EQT106" s="68"/>
      <c r="EQU106" s="1"/>
      <c r="EQV106" s="73"/>
      <c r="EQW106" s="74"/>
      <c r="EQY106" s="75"/>
      <c r="ERB106" s="75"/>
      <c r="ERC106" s="72"/>
      <c r="ERD106" s="68"/>
      <c r="ERE106" s="1"/>
      <c r="ERF106" s="73"/>
      <c r="ERG106" s="74"/>
      <c r="ERI106" s="75"/>
      <c r="ERL106" s="75"/>
      <c r="ERM106" s="72"/>
      <c r="ERN106" s="68"/>
      <c r="ERO106" s="1"/>
      <c r="ERP106" s="73"/>
      <c r="ERQ106" s="74"/>
      <c r="ERS106" s="75"/>
      <c r="ERV106" s="75"/>
      <c r="ERW106" s="72"/>
      <c r="ERX106" s="68"/>
      <c r="ERY106" s="1"/>
      <c r="ERZ106" s="73"/>
      <c r="ESA106" s="74"/>
      <c r="ESC106" s="75"/>
      <c r="ESF106" s="75"/>
      <c r="ESG106" s="72"/>
      <c r="ESH106" s="68"/>
      <c r="ESI106" s="1"/>
      <c r="ESJ106" s="73"/>
      <c r="ESK106" s="74"/>
      <c r="ESM106" s="75"/>
      <c r="ESP106" s="75"/>
      <c r="ESQ106" s="72"/>
      <c r="ESR106" s="68"/>
      <c r="ESS106" s="1"/>
      <c r="EST106" s="73"/>
      <c r="ESU106" s="74"/>
      <c r="ESW106" s="75"/>
      <c r="ESZ106" s="75"/>
      <c r="ETA106" s="72"/>
      <c r="ETB106" s="68"/>
      <c r="ETC106" s="1"/>
      <c r="ETD106" s="73"/>
      <c r="ETE106" s="74"/>
      <c r="ETG106" s="75"/>
      <c r="ETJ106" s="75"/>
      <c r="ETK106" s="72"/>
      <c r="ETL106" s="68"/>
      <c r="ETM106" s="1"/>
      <c r="ETN106" s="73"/>
      <c r="ETO106" s="74"/>
      <c r="ETQ106" s="75"/>
      <c r="ETT106" s="75"/>
      <c r="ETU106" s="72"/>
      <c r="ETV106" s="68"/>
      <c r="ETW106" s="1"/>
      <c r="ETX106" s="73"/>
      <c r="ETY106" s="74"/>
      <c r="EUA106" s="75"/>
      <c r="EUD106" s="75"/>
      <c r="EUE106" s="72"/>
      <c r="EUF106" s="68"/>
      <c r="EUG106" s="1"/>
      <c r="EUH106" s="73"/>
      <c r="EUI106" s="74"/>
      <c r="EUK106" s="75"/>
      <c r="EUN106" s="75"/>
      <c r="EUO106" s="72"/>
      <c r="EUP106" s="68"/>
      <c r="EUQ106" s="1"/>
      <c r="EUR106" s="73"/>
      <c r="EUS106" s="74"/>
      <c r="EUU106" s="75"/>
      <c r="EUX106" s="75"/>
      <c r="EUY106" s="72"/>
      <c r="EUZ106" s="68"/>
      <c r="EVA106" s="1"/>
      <c r="EVB106" s="73"/>
      <c r="EVC106" s="74"/>
      <c r="EVE106" s="75"/>
      <c r="EVH106" s="75"/>
      <c r="EVI106" s="72"/>
      <c r="EVJ106" s="68"/>
      <c r="EVK106" s="1"/>
      <c r="EVL106" s="73"/>
      <c r="EVM106" s="74"/>
      <c r="EVO106" s="75"/>
      <c r="EVR106" s="75"/>
      <c r="EVS106" s="72"/>
      <c r="EVT106" s="68"/>
      <c r="EVU106" s="1"/>
      <c r="EVV106" s="73"/>
      <c r="EVW106" s="74"/>
      <c r="EVY106" s="75"/>
      <c r="EWB106" s="75"/>
      <c r="EWC106" s="72"/>
      <c r="EWD106" s="68"/>
      <c r="EWE106" s="1"/>
      <c r="EWF106" s="73"/>
      <c r="EWG106" s="74"/>
      <c r="EWI106" s="75"/>
      <c r="EWL106" s="75"/>
      <c r="EWM106" s="72"/>
      <c r="EWN106" s="68"/>
      <c r="EWO106" s="1"/>
      <c r="EWP106" s="73"/>
      <c r="EWQ106" s="74"/>
      <c r="EWS106" s="75"/>
      <c r="EWV106" s="75"/>
      <c r="EWW106" s="72"/>
      <c r="EWX106" s="68"/>
      <c r="EWY106" s="1"/>
      <c r="EWZ106" s="73"/>
      <c r="EXA106" s="74"/>
      <c r="EXC106" s="75"/>
      <c r="EXF106" s="75"/>
      <c r="EXG106" s="72"/>
      <c r="EXH106" s="68"/>
      <c r="EXI106" s="1"/>
      <c r="EXJ106" s="73"/>
      <c r="EXK106" s="74"/>
      <c r="EXM106" s="75"/>
      <c r="EXP106" s="75"/>
      <c r="EXQ106" s="72"/>
      <c r="EXR106" s="68"/>
      <c r="EXS106" s="1"/>
      <c r="EXT106" s="73"/>
      <c r="EXU106" s="74"/>
      <c r="EXW106" s="75"/>
      <c r="EXZ106" s="75"/>
      <c r="EYA106" s="72"/>
      <c r="EYB106" s="68"/>
      <c r="EYC106" s="1"/>
      <c r="EYD106" s="73"/>
      <c r="EYE106" s="74"/>
      <c r="EYG106" s="75"/>
      <c r="EYJ106" s="75"/>
      <c r="EYK106" s="72"/>
      <c r="EYL106" s="68"/>
      <c r="EYM106" s="1"/>
      <c r="EYN106" s="73"/>
      <c r="EYO106" s="74"/>
      <c r="EYQ106" s="75"/>
      <c r="EYT106" s="75"/>
      <c r="EYU106" s="72"/>
      <c r="EYV106" s="68"/>
      <c r="EYW106" s="1"/>
      <c r="EYX106" s="73"/>
      <c r="EYY106" s="74"/>
      <c r="EZA106" s="75"/>
      <c r="EZD106" s="75"/>
      <c r="EZE106" s="72"/>
      <c r="EZF106" s="68"/>
      <c r="EZG106" s="1"/>
      <c r="EZH106" s="73"/>
      <c r="EZI106" s="74"/>
      <c r="EZK106" s="75"/>
      <c r="EZN106" s="75"/>
      <c r="EZO106" s="72"/>
      <c r="EZP106" s="68"/>
      <c r="EZQ106" s="1"/>
      <c r="EZR106" s="73"/>
      <c r="EZS106" s="74"/>
      <c r="EZU106" s="75"/>
      <c r="EZX106" s="75"/>
      <c r="EZY106" s="72"/>
      <c r="EZZ106" s="68"/>
      <c r="FAA106" s="1"/>
      <c r="FAB106" s="73"/>
      <c r="FAC106" s="74"/>
      <c r="FAE106" s="75"/>
      <c r="FAH106" s="75"/>
      <c r="FAI106" s="72"/>
      <c r="FAJ106" s="68"/>
      <c r="FAK106" s="1"/>
      <c r="FAL106" s="73"/>
      <c r="FAM106" s="74"/>
      <c r="FAO106" s="75"/>
      <c r="FAR106" s="75"/>
      <c r="FAS106" s="72"/>
      <c r="FAT106" s="68"/>
      <c r="FAU106" s="1"/>
      <c r="FAV106" s="73"/>
      <c r="FAW106" s="74"/>
      <c r="FAY106" s="75"/>
      <c r="FBB106" s="75"/>
      <c r="FBC106" s="72"/>
      <c r="FBD106" s="68"/>
      <c r="FBE106" s="1"/>
      <c r="FBF106" s="73"/>
      <c r="FBG106" s="74"/>
      <c r="FBI106" s="75"/>
      <c r="FBL106" s="75"/>
      <c r="FBM106" s="72"/>
      <c r="FBN106" s="68"/>
      <c r="FBO106" s="1"/>
      <c r="FBP106" s="73"/>
      <c r="FBQ106" s="74"/>
      <c r="FBS106" s="75"/>
      <c r="FBV106" s="75"/>
      <c r="FBW106" s="72"/>
      <c r="FBX106" s="68"/>
      <c r="FBY106" s="1"/>
      <c r="FBZ106" s="73"/>
      <c r="FCA106" s="74"/>
      <c r="FCC106" s="75"/>
      <c r="FCF106" s="75"/>
      <c r="FCG106" s="72"/>
      <c r="FCH106" s="68"/>
      <c r="FCI106" s="1"/>
      <c r="FCJ106" s="73"/>
      <c r="FCK106" s="74"/>
      <c r="FCM106" s="75"/>
      <c r="FCP106" s="75"/>
      <c r="FCQ106" s="72"/>
      <c r="FCR106" s="68"/>
      <c r="FCS106" s="1"/>
      <c r="FCT106" s="73"/>
      <c r="FCU106" s="74"/>
      <c r="FCW106" s="75"/>
      <c r="FCZ106" s="75"/>
      <c r="FDA106" s="72"/>
      <c r="FDB106" s="68"/>
      <c r="FDC106" s="1"/>
      <c r="FDD106" s="73"/>
      <c r="FDE106" s="74"/>
      <c r="FDG106" s="75"/>
      <c r="FDJ106" s="75"/>
      <c r="FDK106" s="72"/>
      <c r="FDL106" s="68"/>
      <c r="FDM106" s="1"/>
      <c r="FDN106" s="73"/>
      <c r="FDO106" s="74"/>
      <c r="FDQ106" s="75"/>
      <c r="FDT106" s="75"/>
      <c r="FDU106" s="72"/>
      <c r="FDV106" s="68"/>
      <c r="FDW106" s="1"/>
      <c r="FDX106" s="73"/>
      <c r="FDY106" s="74"/>
      <c r="FEA106" s="75"/>
      <c r="FED106" s="75"/>
      <c r="FEE106" s="72"/>
      <c r="FEF106" s="68"/>
      <c r="FEG106" s="1"/>
      <c r="FEH106" s="73"/>
      <c r="FEI106" s="74"/>
      <c r="FEK106" s="75"/>
      <c r="FEN106" s="75"/>
      <c r="FEO106" s="72"/>
      <c r="FEP106" s="68"/>
      <c r="FEQ106" s="1"/>
      <c r="FER106" s="73"/>
      <c r="FES106" s="74"/>
      <c r="FEU106" s="75"/>
      <c r="FEX106" s="75"/>
      <c r="FEY106" s="72"/>
      <c r="FEZ106" s="68"/>
      <c r="FFA106" s="1"/>
      <c r="FFB106" s="73"/>
      <c r="FFC106" s="74"/>
      <c r="FFE106" s="75"/>
      <c r="FFH106" s="75"/>
      <c r="FFI106" s="72"/>
      <c r="FFJ106" s="68"/>
      <c r="FFK106" s="1"/>
      <c r="FFL106" s="73"/>
      <c r="FFM106" s="74"/>
      <c r="FFO106" s="75"/>
      <c r="FFR106" s="75"/>
      <c r="FFS106" s="72"/>
      <c r="FFT106" s="68"/>
      <c r="FFU106" s="1"/>
      <c r="FFV106" s="73"/>
      <c r="FFW106" s="74"/>
      <c r="FFY106" s="75"/>
      <c r="FGB106" s="75"/>
      <c r="FGC106" s="72"/>
      <c r="FGD106" s="68"/>
      <c r="FGE106" s="1"/>
      <c r="FGF106" s="73"/>
      <c r="FGG106" s="74"/>
      <c r="FGI106" s="75"/>
      <c r="FGL106" s="75"/>
      <c r="FGM106" s="72"/>
      <c r="FGN106" s="68"/>
      <c r="FGO106" s="1"/>
      <c r="FGP106" s="73"/>
      <c r="FGQ106" s="74"/>
      <c r="FGS106" s="75"/>
      <c r="FGV106" s="75"/>
      <c r="FGW106" s="72"/>
      <c r="FGX106" s="68"/>
      <c r="FGY106" s="1"/>
      <c r="FGZ106" s="73"/>
      <c r="FHA106" s="74"/>
      <c r="FHC106" s="75"/>
      <c r="FHF106" s="75"/>
      <c r="FHG106" s="72"/>
      <c r="FHH106" s="68"/>
      <c r="FHI106" s="1"/>
      <c r="FHJ106" s="73"/>
      <c r="FHK106" s="74"/>
      <c r="FHM106" s="75"/>
      <c r="FHP106" s="75"/>
      <c r="FHQ106" s="72"/>
      <c r="FHR106" s="68"/>
      <c r="FHS106" s="1"/>
      <c r="FHT106" s="73"/>
      <c r="FHU106" s="74"/>
      <c r="FHW106" s="75"/>
      <c r="FHZ106" s="75"/>
      <c r="FIA106" s="72"/>
      <c r="FIB106" s="68"/>
      <c r="FIC106" s="1"/>
      <c r="FID106" s="73"/>
      <c r="FIE106" s="74"/>
      <c r="FIG106" s="75"/>
      <c r="FIJ106" s="75"/>
      <c r="FIK106" s="72"/>
      <c r="FIL106" s="68"/>
      <c r="FIM106" s="1"/>
      <c r="FIN106" s="73"/>
      <c r="FIO106" s="74"/>
      <c r="FIQ106" s="75"/>
      <c r="FIT106" s="75"/>
      <c r="FIU106" s="72"/>
      <c r="FIV106" s="68"/>
      <c r="FIW106" s="1"/>
      <c r="FIX106" s="73"/>
      <c r="FIY106" s="74"/>
      <c r="FJA106" s="75"/>
      <c r="FJD106" s="75"/>
      <c r="FJE106" s="72"/>
      <c r="FJF106" s="68"/>
      <c r="FJG106" s="1"/>
      <c r="FJH106" s="73"/>
      <c r="FJI106" s="74"/>
      <c r="FJK106" s="75"/>
      <c r="FJN106" s="75"/>
      <c r="FJO106" s="72"/>
      <c r="FJP106" s="68"/>
      <c r="FJQ106" s="1"/>
      <c r="FJR106" s="73"/>
      <c r="FJS106" s="74"/>
      <c r="FJU106" s="75"/>
      <c r="FJX106" s="75"/>
      <c r="FJY106" s="72"/>
      <c r="FJZ106" s="68"/>
      <c r="FKA106" s="1"/>
      <c r="FKB106" s="73"/>
      <c r="FKC106" s="74"/>
      <c r="FKE106" s="75"/>
      <c r="FKH106" s="75"/>
      <c r="FKI106" s="72"/>
      <c r="FKJ106" s="68"/>
      <c r="FKK106" s="1"/>
      <c r="FKL106" s="73"/>
      <c r="FKM106" s="74"/>
      <c r="FKO106" s="75"/>
      <c r="FKR106" s="75"/>
      <c r="FKS106" s="72"/>
      <c r="FKT106" s="68"/>
      <c r="FKU106" s="1"/>
      <c r="FKV106" s="73"/>
      <c r="FKW106" s="74"/>
      <c r="FKY106" s="75"/>
      <c r="FLB106" s="75"/>
      <c r="FLC106" s="72"/>
      <c r="FLD106" s="68"/>
      <c r="FLE106" s="1"/>
      <c r="FLF106" s="73"/>
      <c r="FLG106" s="74"/>
      <c r="FLI106" s="75"/>
      <c r="FLL106" s="75"/>
      <c r="FLM106" s="72"/>
      <c r="FLN106" s="68"/>
      <c r="FLO106" s="1"/>
      <c r="FLP106" s="73"/>
      <c r="FLQ106" s="74"/>
      <c r="FLS106" s="75"/>
      <c r="FLV106" s="75"/>
      <c r="FLW106" s="72"/>
      <c r="FLX106" s="68"/>
      <c r="FLY106" s="1"/>
      <c r="FLZ106" s="73"/>
      <c r="FMA106" s="74"/>
      <c r="FMC106" s="75"/>
      <c r="FMF106" s="75"/>
      <c r="FMG106" s="72"/>
      <c r="FMH106" s="68"/>
      <c r="FMI106" s="1"/>
      <c r="FMJ106" s="73"/>
      <c r="FMK106" s="74"/>
      <c r="FMM106" s="75"/>
      <c r="FMP106" s="75"/>
      <c r="FMQ106" s="72"/>
      <c r="FMR106" s="68"/>
      <c r="FMS106" s="1"/>
      <c r="FMT106" s="73"/>
      <c r="FMU106" s="74"/>
      <c r="FMW106" s="75"/>
      <c r="FMZ106" s="75"/>
      <c r="FNA106" s="72"/>
      <c r="FNB106" s="68"/>
      <c r="FNC106" s="1"/>
      <c r="FND106" s="73"/>
      <c r="FNE106" s="74"/>
      <c r="FNG106" s="75"/>
      <c r="FNJ106" s="75"/>
      <c r="FNK106" s="72"/>
      <c r="FNL106" s="68"/>
      <c r="FNM106" s="1"/>
      <c r="FNN106" s="73"/>
      <c r="FNO106" s="74"/>
      <c r="FNQ106" s="75"/>
      <c r="FNT106" s="75"/>
      <c r="FNU106" s="72"/>
      <c r="FNV106" s="68"/>
      <c r="FNW106" s="1"/>
      <c r="FNX106" s="73"/>
      <c r="FNY106" s="74"/>
      <c r="FOA106" s="75"/>
      <c r="FOD106" s="75"/>
      <c r="FOE106" s="72"/>
      <c r="FOF106" s="68"/>
      <c r="FOG106" s="1"/>
      <c r="FOH106" s="73"/>
      <c r="FOI106" s="74"/>
      <c r="FOK106" s="75"/>
      <c r="FON106" s="75"/>
      <c r="FOO106" s="72"/>
      <c r="FOP106" s="68"/>
      <c r="FOQ106" s="1"/>
      <c r="FOR106" s="73"/>
      <c r="FOS106" s="74"/>
      <c r="FOU106" s="75"/>
      <c r="FOX106" s="75"/>
      <c r="FOY106" s="72"/>
      <c r="FOZ106" s="68"/>
      <c r="FPA106" s="1"/>
      <c r="FPB106" s="73"/>
      <c r="FPC106" s="74"/>
      <c r="FPE106" s="75"/>
      <c r="FPH106" s="75"/>
      <c r="FPI106" s="72"/>
      <c r="FPJ106" s="68"/>
      <c r="FPK106" s="1"/>
      <c r="FPL106" s="73"/>
      <c r="FPM106" s="74"/>
      <c r="FPO106" s="75"/>
      <c r="FPR106" s="75"/>
      <c r="FPS106" s="72"/>
      <c r="FPT106" s="68"/>
      <c r="FPU106" s="1"/>
      <c r="FPV106" s="73"/>
      <c r="FPW106" s="74"/>
      <c r="FPY106" s="75"/>
      <c r="FQB106" s="75"/>
      <c r="FQC106" s="72"/>
      <c r="FQD106" s="68"/>
      <c r="FQE106" s="1"/>
      <c r="FQF106" s="73"/>
      <c r="FQG106" s="74"/>
      <c r="FQI106" s="75"/>
      <c r="FQL106" s="75"/>
      <c r="FQM106" s="72"/>
      <c r="FQN106" s="68"/>
      <c r="FQO106" s="1"/>
      <c r="FQP106" s="73"/>
      <c r="FQQ106" s="74"/>
      <c r="FQS106" s="75"/>
      <c r="FQV106" s="75"/>
      <c r="FQW106" s="72"/>
      <c r="FQX106" s="68"/>
      <c r="FQY106" s="1"/>
      <c r="FQZ106" s="73"/>
      <c r="FRA106" s="74"/>
      <c r="FRC106" s="75"/>
      <c r="FRF106" s="75"/>
      <c r="FRG106" s="72"/>
      <c r="FRH106" s="68"/>
      <c r="FRI106" s="1"/>
      <c r="FRJ106" s="73"/>
      <c r="FRK106" s="74"/>
      <c r="FRM106" s="75"/>
      <c r="FRP106" s="75"/>
      <c r="FRQ106" s="72"/>
      <c r="FRR106" s="68"/>
      <c r="FRS106" s="1"/>
      <c r="FRT106" s="73"/>
      <c r="FRU106" s="74"/>
      <c r="FRW106" s="75"/>
      <c r="FRZ106" s="75"/>
      <c r="FSA106" s="72"/>
      <c r="FSB106" s="68"/>
      <c r="FSC106" s="1"/>
      <c r="FSD106" s="73"/>
      <c r="FSE106" s="74"/>
      <c r="FSG106" s="75"/>
      <c r="FSJ106" s="75"/>
      <c r="FSK106" s="72"/>
      <c r="FSL106" s="68"/>
      <c r="FSM106" s="1"/>
      <c r="FSN106" s="73"/>
      <c r="FSO106" s="74"/>
      <c r="FSQ106" s="75"/>
      <c r="FST106" s="75"/>
      <c r="FSU106" s="72"/>
      <c r="FSV106" s="68"/>
      <c r="FSW106" s="1"/>
      <c r="FSX106" s="73"/>
      <c r="FSY106" s="74"/>
      <c r="FTA106" s="75"/>
      <c r="FTD106" s="75"/>
      <c r="FTE106" s="72"/>
      <c r="FTF106" s="68"/>
      <c r="FTG106" s="1"/>
      <c r="FTH106" s="73"/>
      <c r="FTI106" s="74"/>
      <c r="FTK106" s="75"/>
      <c r="FTN106" s="75"/>
      <c r="FTO106" s="72"/>
      <c r="FTP106" s="68"/>
      <c r="FTQ106" s="1"/>
      <c r="FTR106" s="73"/>
      <c r="FTS106" s="74"/>
      <c r="FTU106" s="75"/>
      <c r="FTX106" s="75"/>
      <c r="FTY106" s="72"/>
      <c r="FTZ106" s="68"/>
      <c r="FUA106" s="1"/>
      <c r="FUB106" s="73"/>
      <c r="FUC106" s="74"/>
      <c r="FUE106" s="75"/>
      <c r="FUH106" s="75"/>
      <c r="FUI106" s="72"/>
      <c r="FUJ106" s="68"/>
      <c r="FUK106" s="1"/>
      <c r="FUL106" s="73"/>
      <c r="FUM106" s="74"/>
      <c r="FUO106" s="75"/>
      <c r="FUR106" s="75"/>
      <c r="FUS106" s="72"/>
      <c r="FUT106" s="68"/>
      <c r="FUU106" s="1"/>
      <c r="FUV106" s="73"/>
      <c r="FUW106" s="74"/>
      <c r="FUY106" s="75"/>
      <c r="FVB106" s="75"/>
      <c r="FVC106" s="72"/>
      <c r="FVD106" s="68"/>
      <c r="FVE106" s="1"/>
      <c r="FVF106" s="73"/>
      <c r="FVG106" s="74"/>
      <c r="FVI106" s="75"/>
      <c r="FVL106" s="75"/>
      <c r="FVM106" s="72"/>
      <c r="FVN106" s="68"/>
      <c r="FVO106" s="1"/>
      <c r="FVP106" s="73"/>
      <c r="FVQ106" s="74"/>
      <c r="FVS106" s="75"/>
      <c r="FVV106" s="75"/>
      <c r="FVW106" s="72"/>
      <c r="FVX106" s="68"/>
      <c r="FVY106" s="1"/>
      <c r="FVZ106" s="73"/>
      <c r="FWA106" s="74"/>
      <c r="FWC106" s="75"/>
      <c r="FWF106" s="75"/>
      <c r="FWG106" s="72"/>
      <c r="FWH106" s="68"/>
      <c r="FWI106" s="1"/>
      <c r="FWJ106" s="73"/>
      <c r="FWK106" s="74"/>
      <c r="FWM106" s="75"/>
      <c r="FWP106" s="75"/>
      <c r="FWQ106" s="72"/>
      <c r="FWR106" s="68"/>
      <c r="FWS106" s="1"/>
      <c r="FWT106" s="73"/>
      <c r="FWU106" s="74"/>
      <c r="FWW106" s="75"/>
      <c r="FWZ106" s="75"/>
      <c r="FXA106" s="72"/>
      <c r="FXB106" s="68"/>
      <c r="FXC106" s="1"/>
      <c r="FXD106" s="73"/>
      <c r="FXE106" s="74"/>
      <c r="FXG106" s="75"/>
      <c r="FXJ106" s="75"/>
      <c r="FXK106" s="72"/>
      <c r="FXL106" s="68"/>
      <c r="FXM106" s="1"/>
      <c r="FXN106" s="73"/>
      <c r="FXO106" s="74"/>
      <c r="FXQ106" s="75"/>
      <c r="FXT106" s="75"/>
      <c r="FXU106" s="72"/>
      <c r="FXV106" s="68"/>
      <c r="FXW106" s="1"/>
      <c r="FXX106" s="73"/>
      <c r="FXY106" s="74"/>
      <c r="FYA106" s="75"/>
      <c r="FYD106" s="75"/>
      <c r="FYE106" s="72"/>
      <c r="FYF106" s="68"/>
      <c r="FYG106" s="1"/>
      <c r="FYH106" s="73"/>
      <c r="FYI106" s="74"/>
      <c r="FYK106" s="75"/>
      <c r="FYN106" s="75"/>
      <c r="FYO106" s="72"/>
      <c r="FYP106" s="68"/>
      <c r="FYQ106" s="1"/>
      <c r="FYR106" s="73"/>
      <c r="FYS106" s="74"/>
      <c r="FYU106" s="75"/>
      <c r="FYX106" s="75"/>
      <c r="FYY106" s="72"/>
      <c r="FYZ106" s="68"/>
      <c r="FZA106" s="1"/>
      <c r="FZB106" s="73"/>
      <c r="FZC106" s="74"/>
      <c r="FZE106" s="75"/>
      <c r="FZH106" s="75"/>
      <c r="FZI106" s="72"/>
      <c r="FZJ106" s="68"/>
      <c r="FZK106" s="1"/>
      <c r="FZL106" s="73"/>
      <c r="FZM106" s="74"/>
      <c r="FZO106" s="75"/>
      <c r="FZR106" s="75"/>
      <c r="FZS106" s="72"/>
      <c r="FZT106" s="68"/>
      <c r="FZU106" s="1"/>
      <c r="FZV106" s="73"/>
      <c r="FZW106" s="74"/>
      <c r="FZY106" s="75"/>
      <c r="GAB106" s="75"/>
      <c r="GAC106" s="72"/>
      <c r="GAD106" s="68"/>
      <c r="GAE106" s="1"/>
      <c r="GAF106" s="73"/>
      <c r="GAG106" s="74"/>
      <c r="GAI106" s="75"/>
      <c r="GAL106" s="75"/>
      <c r="GAM106" s="72"/>
      <c r="GAN106" s="68"/>
      <c r="GAO106" s="1"/>
      <c r="GAP106" s="73"/>
      <c r="GAQ106" s="74"/>
      <c r="GAS106" s="75"/>
      <c r="GAV106" s="75"/>
      <c r="GAW106" s="72"/>
      <c r="GAX106" s="68"/>
      <c r="GAY106" s="1"/>
      <c r="GAZ106" s="73"/>
      <c r="GBA106" s="74"/>
      <c r="GBC106" s="75"/>
      <c r="GBF106" s="75"/>
      <c r="GBG106" s="72"/>
      <c r="GBH106" s="68"/>
      <c r="GBI106" s="1"/>
      <c r="GBJ106" s="73"/>
      <c r="GBK106" s="74"/>
      <c r="GBM106" s="75"/>
      <c r="GBP106" s="75"/>
      <c r="GBQ106" s="72"/>
      <c r="GBR106" s="68"/>
      <c r="GBS106" s="1"/>
      <c r="GBT106" s="73"/>
      <c r="GBU106" s="74"/>
      <c r="GBW106" s="75"/>
      <c r="GBZ106" s="75"/>
      <c r="GCA106" s="72"/>
      <c r="GCB106" s="68"/>
      <c r="GCC106" s="1"/>
      <c r="GCD106" s="73"/>
      <c r="GCE106" s="74"/>
      <c r="GCG106" s="75"/>
      <c r="GCJ106" s="75"/>
      <c r="GCK106" s="72"/>
      <c r="GCL106" s="68"/>
      <c r="GCM106" s="1"/>
      <c r="GCN106" s="73"/>
      <c r="GCO106" s="74"/>
      <c r="GCQ106" s="75"/>
      <c r="GCT106" s="75"/>
      <c r="GCU106" s="72"/>
      <c r="GCV106" s="68"/>
      <c r="GCW106" s="1"/>
      <c r="GCX106" s="73"/>
      <c r="GCY106" s="74"/>
      <c r="GDA106" s="75"/>
      <c r="GDD106" s="75"/>
      <c r="GDE106" s="72"/>
      <c r="GDF106" s="68"/>
      <c r="GDG106" s="1"/>
      <c r="GDH106" s="73"/>
      <c r="GDI106" s="74"/>
      <c r="GDK106" s="75"/>
      <c r="GDN106" s="75"/>
      <c r="GDO106" s="72"/>
      <c r="GDP106" s="68"/>
      <c r="GDQ106" s="1"/>
      <c r="GDR106" s="73"/>
      <c r="GDS106" s="74"/>
      <c r="GDU106" s="75"/>
      <c r="GDX106" s="75"/>
      <c r="GDY106" s="72"/>
      <c r="GDZ106" s="68"/>
      <c r="GEA106" s="1"/>
      <c r="GEB106" s="73"/>
      <c r="GEC106" s="74"/>
      <c r="GEE106" s="75"/>
      <c r="GEH106" s="75"/>
      <c r="GEI106" s="72"/>
      <c r="GEJ106" s="68"/>
      <c r="GEK106" s="1"/>
      <c r="GEL106" s="73"/>
      <c r="GEM106" s="74"/>
      <c r="GEO106" s="75"/>
      <c r="GER106" s="75"/>
      <c r="GES106" s="72"/>
      <c r="GET106" s="68"/>
      <c r="GEU106" s="1"/>
      <c r="GEV106" s="73"/>
      <c r="GEW106" s="74"/>
      <c r="GEY106" s="75"/>
      <c r="GFB106" s="75"/>
      <c r="GFC106" s="72"/>
      <c r="GFD106" s="68"/>
      <c r="GFE106" s="1"/>
      <c r="GFF106" s="73"/>
      <c r="GFG106" s="74"/>
      <c r="GFI106" s="75"/>
      <c r="GFL106" s="75"/>
      <c r="GFM106" s="72"/>
      <c r="GFN106" s="68"/>
      <c r="GFO106" s="1"/>
      <c r="GFP106" s="73"/>
      <c r="GFQ106" s="74"/>
      <c r="GFS106" s="75"/>
      <c r="GFV106" s="75"/>
      <c r="GFW106" s="72"/>
      <c r="GFX106" s="68"/>
      <c r="GFY106" s="1"/>
      <c r="GFZ106" s="73"/>
      <c r="GGA106" s="74"/>
      <c r="GGC106" s="75"/>
      <c r="GGF106" s="75"/>
      <c r="GGG106" s="72"/>
      <c r="GGH106" s="68"/>
      <c r="GGI106" s="1"/>
      <c r="GGJ106" s="73"/>
      <c r="GGK106" s="74"/>
      <c r="GGM106" s="75"/>
      <c r="GGP106" s="75"/>
      <c r="GGQ106" s="72"/>
      <c r="GGR106" s="68"/>
      <c r="GGS106" s="1"/>
      <c r="GGT106" s="73"/>
      <c r="GGU106" s="74"/>
      <c r="GGW106" s="75"/>
      <c r="GGZ106" s="75"/>
      <c r="GHA106" s="72"/>
      <c r="GHB106" s="68"/>
      <c r="GHC106" s="1"/>
      <c r="GHD106" s="73"/>
      <c r="GHE106" s="74"/>
      <c r="GHG106" s="75"/>
      <c r="GHJ106" s="75"/>
      <c r="GHK106" s="72"/>
      <c r="GHL106" s="68"/>
      <c r="GHM106" s="1"/>
      <c r="GHN106" s="73"/>
      <c r="GHO106" s="74"/>
      <c r="GHQ106" s="75"/>
      <c r="GHT106" s="75"/>
      <c r="GHU106" s="72"/>
      <c r="GHV106" s="68"/>
      <c r="GHW106" s="1"/>
      <c r="GHX106" s="73"/>
      <c r="GHY106" s="74"/>
      <c r="GIA106" s="75"/>
      <c r="GID106" s="75"/>
      <c r="GIE106" s="72"/>
      <c r="GIF106" s="68"/>
      <c r="GIG106" s="1"/>
      <c r="GIH106" s="73"/>
      <c r="GII106" s="74"/>
      <c r="GIK106" s="75"/>
      <c r="GIN106" s="75"/>
      <c r="GIO106" s="72"/>
      <c r="GIP106" s="68"/>
      <c r="GIQ106" s="1"/>
      <c r="GIR106" s="73"/>
      <c r="GIS106" s="74"/>
      <c r="GIU106" s="75"/>
      <c r="GIX106" s="75"/>
      <c r="GIY106" s="72"/>
      <c r="GIZ106" s="68"/>
      <c r="GJA106" s="1"/>
      <c r="GJB106" s="73"/>
      <c r="GJC106" s="74"/>
      <c r="GJE106" s="75"/>
      <c r="GJH106" s="75"/>
      <c r="GJI106" s="72"/>
      <c r="GJJ106" s="68"/>
      <c r="GJK106" s="1"/>
      <c r="GJL106" s="73"/>
      <c r="GJM106" s="74"/>
      <c r="GJO106" s="75"/>
      <c r="GJR106" s="75"/>
      <c r="GJS106" s="72"/>
      <c r="GJT106" s="68"/>
      <c r="GJU106" s="1"/>
      <c r="GJV106" s="73"/>
      <c r="GJW106" s="74"/>
      <c r="GJY106" s="75"/>
      <c r="GKB106" s="75"/>
      <c r="GKC106" s="72"/>
      <c r="GKD106" s="68"/>
      <c r="GKE106" s="1"/>
      <c r="GKF106" s="73"/>
      <c r="GKG106" s="74"/>
      <c r="GKI106" s="75"/>
      <c r="GKL106" s="75"/>
      <c r="GKM106" s="72"/>
      <c r="GKN106" s="68"/>
      <c r="GKO106" s="1"/>
      <c r="GKP106" s="73"/>
      <c r="GKQ106" s="74"/>
      <c r="GKS106" s="75"/>
      <c r="GKV106" s="75"/>
      <c r="GKW106" s="72"/>
      <c r="GKX106" s="68"/>
      <c r="GKY106" s="1"/>
      <c r="GKZ106" s="73"/>
      <c r="GLA106" s="74"/>
      <c r="GLC106" s="75"/>
      <c r="GLF106" s="75"/>
      <c r="GLG106" s="72"/>
      <c r="GLH106" s="68"/>
      <c r="GLI106" s="1"/>
      <c r="GLJ106" s="73"/>
      <c r="GLK106" s="74"/>
      <c r="GLM106" s="75"/>
      <c r="GLP106" s="75"/>
      <c r="GLQ106" s="72"/>
      <c r="GLR106" s="68"/>
      <c r="GLS106" s="1"/>
      <c r="GLT106" s="73"/>
      <c r="GLU106" s="74"/>
      <c r="GLW106" s="75"/>
      <c r="GLZ106" s="75"/>
      <c r="GMA106" s="72"/>
      <c r="GMB106" s="68"/>
      <c r="GMC106" s="1"/>
      <c r="GMD106" s="73"/>
      <c r="GME106" s="74"/>
      <c r="GMG106" s="75"/>
      <c r="GMJ106" s="75"/>
      <c r="GMK106" s="72"/>
      <c r="GML106" s="68"/>
      <c r="GMM106" s="1"/>
      <c r="GMN106" s="73"/>
      <c r="GMO106" s="74"/>
      <c r="GMQ106" s="75"/>
      <c r="GMT106" s="75"/>
      <c r="GMU106" s="72"/>
      <c r="GMV106" s="68"/>
      <c r="GMW106" s="1"/>
      <c r="GMX106" s="73"/>
      <c r="GMY106" s="74"/>
      <c r="GNA106" s="75"/>
      <c r="GND106" s="75"/>
      <c r="GNE106" s="72"/>
      <c r="GNF106" s="68"/>
      <c r="GNG106" s="1"/>
      <c r="GNH106" s="73"/>
      <c r="GNI106" s="74"/>
      <c r="GNK106" s="75"/>
      <c r="GNN106" s="75"/>
      <c r="GNO106" s="72"/>
      <c r="GNP106" s="68"/>
      <c r="GNQ106" s="1"/>
      <c r="GNR106" s="73"/>
      <c r="GNS106" s="74"/>
      <c r="GNU106" s="75"/>
      <c r="GNX106" s="75"/>
      <c r="GNY106" s="72"/>
      <c r="GNZ106" s="68"/>
      <c r="GOA106" s="1"/>
      <c r="GOB106" s="73"/>
      <c r="GOC106" s="74"/>
      <c r="GOE106" s="75"/>
      <c r="GOH106" s="75"/>
      <c r="GOI106" s="72"/>
      <c r="GOJ106" s="68"/>
      <c r="GOK106" s="1"/>
      <c r="GOL106" s="73"/>
      <c r="GOM106" s="74"/>
      <c r="GOO106" s="75"/>
      <c r="GOR106" s="75"/>
      <c r="GOS106" s="72"/>
      <c r="GOT106" s="68"/>
      <c r="GOU106" s="1"/>
      <c r="GOV106" s="73"/>
      <c r="GOW106" s="74"/>
      <c r="GOY106" s="75"/>
      <c r="GPB106" s="75"/>
      <c r="GPC106" s="72"/>
      <c r="GPD106" s="68"/>
      <c r="GPE106" s="1"/>
      <c r="GPF106" s="73"/>
      <c r="GPG106" s="74"/>
      <c r="GPI106" s="75"/>
      <c r="GPL106" s="75"/>
      <c r="GPM106" s="72"/>
      <c r="GPN106" s="68"/>
      <c r="GPO106" s="1"/>
      <c r="GPP106" s="73"/>
      <c r="GPQ106" s="74"/>
      <c r="GPS106" s="75"/>
      <c r="GPV106" s="75"/>
      <c r="GPW106" s="72"/>
      <c r="GPX106" s="68"/>
      <c r="GPY106" s="1"/>
      <c r="GPZ106" s="73"/>
      <c r="GQA106" s="74"/>
      <c r="GQC106" s="75"/>
      <c r="GQF106" s="75"/>
      <c r="GQG106" s="72"/>
      <c r="GQH106" s="68"/>
      <c r="GQI106" s="1"/>
      <c r="GQJ106" s="73"/>
      <c r="GQK106" s="74"/>
      <c r="GQM106" s="75"/>
      <c r="GQP106" s="75"/>
      <c r="GQQ106" s="72"/>
      <c r="GQR106" s="68"/>
      <c r="GQS106" s="1"/>
      <c r="GQT106" s="73"/>
      <c r="GQU106" s="74"/>
      <c r="GQW106" s="75"/>
      <c r="GQZ106" s="75"/>
      <c r="GRA106" s="72"/>
      <c r="GRB106" s="68"/>
      <c r="GRC106" s="1"/>
      <c r="GRD106" s="73"/>
      <c r="GRE106" s="74"/>
      <c r="GRG106" s="75"/>
      <c r="GRJ106" s="75"/>
      <c r="GRK106" s="72"/>
      <c r="GRL106" s="68"/>
      <c r="GRM106" s="1"/>
      <c r="GRN106" s="73"/>
      <c r="GRO106" s="74"/>
      <c r="GRQ106" s="75"/>
      <c r="GRT106" s="75"/>
      <c r="GRU106" s="72"/>
      <c r="GRV106" s="68"/>
      <c r="GRW106" s="1"/>
      <c r="GRX106" s="73"/>
      <c r="GRY106" s="74"/>
      <c r="GSA106" s="75"/>
      <c r="GSD106" s="75"/>
      <c r="GSE106" s="72"/>
      <c r="GSF106" s="68"/>
      <c r="GSG106" s="1"/>
      <c r="GSH106" s="73"/>
      <c r="GSI106" s="74"/>
      <c r="GSK106" s="75"/>
      <c r="GSN106" s="75"/>
      <c r="GSO106" s="72"/>
      <c r="GSP106" s="68"/>
      <c r="GSQ106" s="1"/>
      <c r="GSR106" s="73"/>
      <c r="GSS106" s="74"/>
      <c r="GSU106" s="75"/>
      <c r="GSX106" s="75"/>
      <c r="GSY106" s="72"/>
      <c r="GSZ106" s="68"/>
      <c r="GTA106" s="1"/>
      <c r="GTB106" s="73"/>
      <c r="GTC106" s="74"/>
      <c r="GTE106" s="75"/>
      <c r="GTH106" s="75"/>
      <c r="GTI106" s="72"/>
      <c r="GTJ106" s="68"/>
      <c r="GTK106" s="1"/>
      <c r="GTL106" s="73"/>
      <c r="GTM106" s="74"/>
      <c r="GTO106" s="75"/>
      <c r="GTR106" s="75"/>
      <c r="GTS106" s="72"/>
      <c r="GTT106" s="68"/>
      <c r="GTU106" s="1"/>
      <c r="GTV106" s="73"/>
      <c r="GTW106" s="74"/>
      <c r="GTY106" s="75"/>
      <c r="GUB106" s="75"/>
      <c r="GUC106" s="72"/>
      <c r="GUD106" s="68"/>
      <c r="GUE106" s="1"/>
      <c r="GUF106" s="73"/>
      <c r="GUG106" s="74"/>
      <c r="GUI106" s="75"/>
      <c r="GUL106" s="75"/>
      <c r="GUM106" s="72"/>
      <c r="GUN106" s="68"/>
      <c r="GUO106" s="1"/>
      <c r="GUP106" s="73"/>
      <c r="GUQ106" s="74"/>
      <c r="GUS106" s="75"/>
      <c r="GUV106" s="75"/>
      <c r="GUW106" s="72"/>
      <c r="GUX106" s="68"/>
      <c r="GUY106" s="1"/>
      <c r="GUZ106" s="73"/>
      <c r="GVA106" s="74"/>
      <c r="GVC106" s="75"/>
      <c r="GVF106" s="75"/>
      <c r="GVG106" s="72"/>
      <c r="GVH106" s="68"/>
      <c r="GVI106" s="1"/>
      <c r="GVJ106" s="73"/>
      <c r="GVK106" s="74"/>
      <c r="GVM106" s="75"/>
      <c r="GVP106" s="75"/>
      <c r="GVQ106" s="72"/>
      <c r="GVR106" s="68"/>
      <c r="GVS106" s="1"/>
      <c r="GVT106" s="73"/>
      <c r="GVU106" s="74"/>
      <c r="GVW106" s="75"/>
      <c r="GVZ106" s="75"/>
      <c r="GWA106" s="72"/>
      <c r="GWB106" s="68"/>
      <c r="GWC106" s="1"/>
      <c r="GWD106" s="73"/>
      <c r="GWE106" s="74"/>
      <c r="GWG106" s="75"/>
      <c r="GWJ106" s="75"/>
      <c r="GWK106" s="72"/>
      <c r="GWL106" s="68"/>
      <c r="GWM106" s="1"/>
      <c r="GWN106" s="73"/>
      <c r="GWO106" s="74"/>
      <c r="GWQ106" s="75"/>
      <c r="GWT106" s="75"/>
      <c r="GWU106" s="72"/>
      <c r="GWV106" s="68"/>
      <c r="GWW106" s="1"/>
      <c r="GWX106" s="73"/>
      <c r="GWY106" s="74"/>
      <c r="GXA106" s="75"/>
      <c r="GXD106" s="75"/>
      <c r="GXE106" s="72"/>
      <c r="GXF106" s="68"/>
      <c r="GXG106" s="1"/>
      <c r="GXH106" s="73"/>
      <c r="GXI106" s="74"/>
      <c r="GXK106" s="75"/>
      <c r="GXN106" s="75"/>
      <c r="GXO106" s="72"/>
      <c r="GXP106" s="68"/>
      <c r="GXQ106" s="1"/>
      <c r="GXR106" s="73"/>
      <c r="GXS106" s="74"/>
      <c r="GXU106" s="75"/>
      <c r="GXX106" s="75"/>
      <c r="GXY106" s="72"/>
      <c r="GXZ106" s="68"/>
      <c r="GYA106" s="1"/>
      <c r="GYB106" s="73"/>
      <c r="GYC106" s="74"/>
      <c r="GYE106" s="75"/>
      <c r="GYH106" s="75"/>
      <c r="GYI106" s="72"/>
      <c r="GYJ106" s="68"/>
      <c r="GYK106" s="1"/>
      <c r="GYL106" s="73"/>
      <c r="GYM106" s="74"/>
      <c r="GYO106" s="75"/>
      <c r="GYR106" s="75"/>
      <c r="GYS106" s="72"/>
      <c r="GYT106" s="68"/>
      <c r="GYU106" s="1"/>
      <c r="GYV106" s="73"/>
      <c r="GYW106" s="74"/>
      <c r="GYY106" s="75"/>
      <c r="GZB106" s="75"/>
      <c r="GZC106" s="72"/>
      <c r="GZD106" s="68"/>
      <c r="GZE106" s="1"/>
      <c r="GZF106" s="73"/>
      <c r="GZG106" s="74"/>
      <c r="GZI106" s="75"/>
      <c r="GZL106" s="75"/>
      <c r="GZM106" s="72"/>
      <c r="GZN106" s="68"/>
      <c r="GZO106" s="1"/>
      <c r="GZP106" s="73"/>
      <c r="GZQ106" s="74"/>
      <c r="GZS106" s="75"/>
      <c r="GZV106" s="75"/>
      <c r="GZW106" s="72"/>
      <c r="GZX106" s="68"/>
      <c r="GZY106" s="1"/>
      <c r="GZZ106" s="73"/>
      <c r="HAA106" s="74"/>
      <c r="HAC106" s="75"/>
      <c r="HAF106" s="75"/>
      <c r="HAG106" s="72"/>
      <c r="HAH106" s="68"/>
      <c r="HAI106" s="1"/>
      <c r="HAJ106" s="73"/>
      <c r="HAK106" s="74"/>
      <c r="HAM106" s="75"/>
      <c r="HAP106" s="75"/>
      <c r="HAQ106" s="72"/>
      <c r="HAR106" s="68"/>
      <c r="HAS106" s="1"/>
      <c r="HAT106" s="73"/>
      <c r="HAU106" s="74"/>
      <c r="HAW106" s="75"/>
      <c r="HAZ106" s="75"/>
      <c r="HBA106" s="72"/>
      <c r="HBB106" s="68"/>
      <c r="HBC106" s="1"/>
      <c r="HBD106" s="73"/>
      <c r="HBE106" s="74"/>
      <c r="HBG106" s="75"/>
      <c r="HBJ106" s="75"/>
      <c r="HBK106" s="72"/>
      <c r="HBL106" s="68"/>
      <c r="HBM106" s="1"/>
      <c r="HBN106" s="73"/>
      <c r="HBO106" s="74"/>
      <c r="HBQ106" s="75"/>
      <c r="HBT106" s="75"/>
      <c r="HBU106" s="72"/>
      <c r="HBV106" s="68"/>
      <c r="HBW106" s="1"/>
      <c r="HBX106" s="73"/>
      <c r="HBY106" s="74"/>
      <c r="HCA106" s="75"/>
      <c r="HCD106" s="75"/>
      <c r="HCE106" s="72"/>
      <c r="HCF106" s="68"/>
      <c r="HCG106" s="1"/>
      <c r="HCH106" s="73"/>
      <c r="HCI106" s="74"/>
      <c r="HCK106" s="75"/>
      <c r="HCN106" s="75"/>
      <c r="HCO106" s="72"/>
      <c r="HCP106" s="68"/>
      <c r="HCQ106" s="1"/>
      <c r="HCR106" s="73"/>
      <c r="HCS106" s="74"/>
      <c r="HCU106" s="75"/>
      <c r="HCX106" s="75"/>
      <c r="HCY106" s="72"/>
      <c r="HCZ106" s="68"/>
      <c r="HDA106" s="1"/>
      <c r="HDB106" s="73"/>
      <c r="HDC106" s="74"/>
      <c r="HDE106" s="75"/>
      <c r="HDH106" s="75"/>
      <c r="HDI106" s="72"/>
      <c r="HDJ106" s="68"/>
      <c r="HDK106" s="1"/>
      <c r="HDL106" s="73"/>
      <c r="HDM106" s="74"/>
      <c r="HDO106" s="75"/>
      <c r="HDR106" s="75"/>
      <c r="HDS106" s="72"/>
      <c r="HDT106" s="68"/>
      <c r="HDU106" s="1"/>
      <c r="HDV106" s="73"/>
      <c r="HDW106" s="74"/>
      <c r="HDY106" s="75"/>
      <c r="HEB106" s="75"/>
      <c r="HEC106" s="72"/>
      <c r="HED106" s="68"/>
      <c r="HEE106" s="1"/>
      <c r="HEF106" s="73"/>
      <c r="HEG106" s="74"/>
      <c r="HEI106" s="75"/>
      <c r="HEL106" s="75"/>
      <c r="HEM106" s="72"/>
      <c r="HEN106" s="68"/>
      <c r="HEO106" s="1"/>
      <c r="HEP106" s="73"/>
      <c r="HEQ106" s="74"/>
      <c r="HES106" s="75"/>
      <c r="HEV106" s="75"/>
      <c r="HEW106" s="72"/>
      <c r="HEX106" s="68"/>
      <c r="HEY106" s="1"/>
      <c r="HEZ106" s="73"/>
      <c r="HFA106" s="74"/>
      <c r="HFC106" s="75"/>
      <c r="HFF106" s="75"/>
      <c r="HFG106" s="72"/>
      <c r="HFH106" s="68"/>
      <c r="HFI106" s="1"/>
      <c r="HFJ106" s="73"/>
      <c r="HFK106" s="74"/>
      <c r="HFM106" s="75"/>
      <c r="HFP106" s="75"/>
      <c r="HFQ106" s="72"/>
      <c r="HFR106" s="68"/>
      <c r="HFS106" s="1"/>
      <c r="HFT106" s="73"/>
      <c r="HFU106" s="74"/>
      <c r="HFW106" s="75"/>
      <c r="HFZ106" s="75"/>
      <c r="HGA106" s="72"/>
      <c r="HGB106" s="68"/>
      <c r="HGC106" s="1"/>
      <c r="HGD106" s="73"/>
      <c r="HGE106" s="74"/>
      <c r="HGG106" s="75"/>
      <c r="HGJ106" s="75"/>
      <c r="HGK106" s="72"/>
      <c r="HGL106" s="68"/>
      <c r="HGM106" s="1"/>
      <c r="HGN106" s="73"/>
      <c r="HGO106" s="74"/>
      <c r="HGQ106" s="75"/>
      <c r="HGT106" s="75"/>
      <c r="HGU106" s="72"/>
      <c r="HGV106" s="68"/>
      <c r="HGW106" s="1"/>
      <c r="HGX106" s="73"/>
      <c r="HGY106" s="74"/>
      <c r="HHA106" s="75"/>
      <c r="HHD106" s="75"/>
      <c r="HHE106" s="72"/>
      <c r="HHF106" s="68"/>
      <c r="HHG106" s="1"/>
      <c r="HHH106" s="73"/>
      <c r="HHI106" s="74"/>
      <c r="HHK106" s="75"/>
      <c r="HHN106" s="75"/>
      <c r="HHO106" s="72"/>
      <c r="HHP106" s="68"/>
      <c r="HHQ106" s="1"/>
      <c r="HHR106" s="73"/>
      <c r="HHS106" s="74"/>
      <c r="HHU106" s="75"/>
      <c r="HHX106" s="75"/>
      <c r="HHY106" s="72"/>
      <c r="HHZ106" s="68"/>
      <c r="HIA106" s="1"/>
      <c r="HIB106" s="73"/>
      <c r="HIC106" s="74"/>
      <c r="HIE106" s="75"/>
      <c r="HIH106" s="75"/>
      <c r="HII106" s="72"/>
      <c r="HIJ106" s="68"/>
      <c r="HIK106" s="1"/>
      <c r="HIL106" s="73"/>
      <c r="HIM106" s="74"/>
      <c r="HIO106" s="75"/>
      <c r="HIR106" s="75"/>
      <c r="HIS106" s="72"/>
      <c r="HIT106" s="68"/>
      <c r="HIU106" s="1"/>
      <c r="HIV106" s="73"/>
      <c r="HIW106" s="74"/>
      <c r="HIY106" s="75"/>
      <c r="HJB106" s="75"/>
      <c r="HJC106" s="72"/>
      <c r="HJD106" s="68"/>
      <c r="HJE106" s="1"/>
      <c r="HJF106" s="73"/>
      <c r="HJG106" s="74"/>
      <c r="HJI106" s="75"/>
      <c r="HJL106" s="75"/>
      <c r="HJM106" s="72"/>
      <c r="HJN106" s="68"/>
      <c r="HJO106" s="1"/>
      <c r="HJP106" s="73"/>
      <c r="HJQ106" s="74"/>
      <c r="HJS106" s="75"/>
      <c r="HJV106" s="75"/>
      <c r="HJW106" s="72"/>
      <c r="HJX106" s="68"/>
      <c r="HJY106" s="1"/>
      <c r="HJZ106" s="73"/>
      <c r="HKA106" s="74"/>
      <c r="HKC106" s="75"/>
      <c r="HKF106" s="75"/>
      <c r="HKG106" s="72"/>
      <c r="HKH106" s="68"/>
      <c r="HKI106" s="1"/>
      <c r="HKJ106" s="73"/>
      <c r="HKK106" s="74"/>
      <c r="HKM106" s="75"/>
      <c r="HKP106" s="75"/>
      <c r="HKQ106" s="72"/>
      <c r="HKR106" s="68"/>
      <c r="HKS106" s="1"/>
      <c r="HKT106" s="73"/>
      <c r="HKU106" s="74"/>
      <c r="HKW106" s="75"/>
      <c r="HKZ106" s="75"/>
      <c r="HLA106" s="72"/>
      <c r="HLB106" s="68"/>
      <c r="HLC106" s="1"/>
      <c r="HLD106" s="73"/>
      <c r="HLE106" s="74"/>
      <c r="HLG106" s="75"/>
      <c r="HLJ106" s="75"/>
      <c r="HLK106" s="72"/>
      <c r="HLL106" s="68"/>
      <c r="HLM106" s="1"/>
      <c r="HLN106" s="73"/>
      <c r="HLO106" s="74"/>
      <c r="HLQ106" s="75"/>
      <c r="HLT106" s="75"/>
      <c r="HLU106" s="72"/>
      <c r="HLV106" s="68"/>
      <c r="HLW106" s="1"/>
      <c r="HLX106" s="73"/>
      <c r="HLY106" s="74"/>
      <c r="HMA106" s="75"/>
      <c r="HMD106" s="75"/>
      <c r="HME106" s="72"/>
      <c r="HMF106" s="68"/>
      <c r="HMG106" s="1"/>
      <c r="HMH106" s="73"/>
      <c r="HMI106" s="74"/>
      <c r="HMK106" s="75"/>
      <c r="HMN106" s="75"/>
      <c r="HMO106" s="72"/>
      <c r="HMP106" s="68"/>
      <c r="HMQ106" s="1"/>
      <c r="HMR106" s="73"/>
      <c r="HMS106" s="74"/>
      <c r="HMU106" s="75"/>
      <c r="HMX106" s="75"/>
      <c r="HMY106" s="72"/>
      <c r="HMZ106" s="68"/>
      <c r="HNA106" s="1"/>
      <c r="HNB106" s="73"/>
      <c r="HNC106" s="74"/>
      <c r="HNE106" s="75"/>
      <c r="HNH106" s="75"/>
      <c r="HNI106" s="72"/>
      <c r="HNJ106" s="68"/>
      <c r="HNK106" s="1"/>
      <c r="HNL106" s="73"/>
      <c r="HNM106" s="74"/>
      <c r="HNO106" s="75"/>
      <c r="HNR106" s="75"/>
      <c r="HNS106" s="72"/>
      <c r="HNT106" s="68"/>
      <c r="HNU106" s="1"/>
      <c r="HNV106" s="73"/>
      <c r="HNW106" s="74"/>
      <c r="HNY106" s="75"/>
      <c r="HOB106" s="75"/>
      <c r="HOC106" s="72"/>
      <c r="HOD106" s="68"/>
      <c r="HOE106" s="1"/>
      <c r="HOF106" s="73"/>
      <c r="HOG106" s="74"/>
      <c r="HOI106" s="75"/>
      <c r="HOL106" s="75"/>
      <c r="HOM106" s="72"/>
      <c r="HON106" s="68"/>
      <c r="HOO106" s="1"/>
      <c r="HOP106" s="73"/>
      <c r="HOQ106" s="74"/>
      <c r="HOS106" s="75"/>
      <c r="HOV106" s="75"/>
      <c r="HOW106" s="72"/>
      <c r="HOX106" s="68"/>
      <c r="HOY106" s="1"/>
      <c r="HOZ106" s="73"/>
      <c r="HPA106" s="74"/>
      <c r="HPC106" s="75"/>
      <c r="HPF106" s="75"/>
      <c r="HPG106" s="72"/>
      <c r="HPH106" s="68"/>
      <c r="HPI106" s="1"/>
      <c r="HPJ106" s="73"/>
      <c r="HPK106" s="74"/>
      <c r="HPM106" s="75"/>
      <c r="HPP106" s="75"/>
      <c r="HPQ106" s="72"/>
      <c r="HPR106" s="68"/>
      <c r="HPS106" s="1"/>
      <c r="HPT106" s="73"/>
      <c r="HPU106" s="74"/>
      <c r="HPW106" s="75"/>
      <c r="HPZ106" s="75"/>
      <c r="HQA106" s="72"/>
      <c r="HQB106" s="68"/>
      <c r="HQC106" s="1"/>
      <c r="HQD106" s="73"/>
      <c r="HQE106" s="74"/>
      <c r="HQG106" s="75"/>
      <c r="HQJ106" s="75"/>
      <c r="HQK106" s="72"/>
      <c r="HQL106" s="68"/>
      <c r="HQM106" s="1"/>
      <c r="HQN106" s="73"/>
      <c r="HQO106" s="74"/>
      <c r="HQQ106" s="75"/>
      <c r="HQT106" s="75"/>
      <c r="HQU106" s="72"/>
      <c r="HQV106" s="68"/>
      <c r="HQW106" s="1"/>
      <c r="HQX106" s="73"/>
      <c r="HQY106" s="74"/>
      <c r="HRA106" s="75"/>
      <c r="HRD106" s="75"/>
      <c r="HRE106" s="72"/>
      <c r="HRF106" s="68"/>
      <c r="HRG106" s="1"/>
      <c r="HRH106" s="73"/>
      <c r="HRI106" s="74"/>
      <c r="HRK106" s="75"/>
      <c r="HRN106" s="75"/>
      <c r="HRO106" s="72"/>
      <c r="HRP106" s="68"/>
      <c r="HRQ106" s="1"/>
      <c r="HRR106" s="73"/>
      <c r="HRS106" s="74"/>
      <c r="HRU106" s="75"/>
      <c r="HRX106" s="75"/>
      <c r="HRY106" s="72"/>
      <c r="HRZ106" s="68"/>
      <c r="HSA106" s="1"/>
      <c r="HSB106" s="73"/>
      <c r="HSC106" s="74"/>
      <c r="HSE106" s="75"/>
      <c r="HSH106" s="75"/>
      <c r="HSI106" s="72"/>
      <c r="HSJ106" s="68"/>
      <c r="HSK106" s="1"/>
      <c r="HSL106" s="73"/>
      <c r="HSM106" s="74"/>
      <c r="HSO106" s="75"/>
      <c r="HSR106" s="75"/>
      <c r="HSS106" s="72"/>
      <c r="HST106" s="68"/>
      <c r="HSU106" s="1"/>
      <c r="HSV106" s="73"/>
      <c r="HSW106" s="74"/>
      <c r="HSY106" s="75"/>
      <c r="HTB106" s="75"/>
      <c r="HTC106" s="72"/>
      <c r="HTD106" s="68"/>
      <c r="HTE106" s="1"/>
      <c r="HTF106" s="73"/>
      <c r="HTG106" s="74"/>
      <c r="HTI106" s="75"/>
      <c r="HTL106" s="75"/>
      <c r="HTM106" s="72"/>
      <c r="HTN106" s="68"/>
      <c r="HTO106" s="1"/>
      <c r="HTP106" s="73"/>
      <c r="HTQ106" s="74"/>
      <c r="HTS106" s="75"/>
      <c r="HTV106" s="75"/>
      <c r="HTW106" s="72"/>
      <c r="HTX106" s="68"/>
      <c r="HTY106" s="1"/>
      <c r="HTZ106" s="73"/>
      <c r="HUA106" s="74"/>
      <c r="HUC106" s="75"/>
      <c r="HUF106" s="75"/>
      <c r="HUG106" s="72"/>
      <c r="HUH106" s="68"/>
      <c r="HUI106" s="1"/>
      <c r="HUJ106" s="73"/>
      <c r="HUK106" s="74"/>
      <c r="HUM106" s="75"/>
      <c r="HUP106" s="75"/>
      <c r="HUQ106" s="72"/>
      <c r="HUR106" s="68"/>
      <c r="HUS106" s="1"/>
      <c r="HUT106" s="73"/>
      <c r="HUU106" s="74"/>
      <c r="HUW106" s="75"/>
      <c r="HUZ106" s="75"/>
      <c r="HVA106" s="72"/>
      <c r="HVB106" s="68"/>
      <c r="HVC106" s="1"/>
      <c r="HVD106" s="73"/>
      <c r="HVE106" s="74"/>
      <c r="HVG106" s="75"/>
      <c r="HVJ106" s="75"/>
      <c r="HVK106" s="72"/>
      <c r="HVL106" s="68"/>
      <c r="HVM106" s="1"/>
      <c r="HVN106" s="73"/>
      <c r="HVO106" s="74"/>
      <c r="HVQ106" s="75"/>
      <c r="HVT106" s="75"/>
      <c r="HVU106" s="72"/>
      <c r="HVV106" s="68"/>
      <c r="HVW106" s="1"/>
      <c r="HVX106" s="73"/>
      <c r="HVY106" s="74"/>
      <c r="HWA106" s="75"/>
      <c r="HWD106" s="75"/>
      <c r="HWE106" s="72"/>
      <c r="HWF106" s="68"/>
      <c r="HWG106" s="1"/>
      <c r="HWH106" s="73"/>
      <c r="HWI106" s="74"/>
      <c r="HWK106" s="75"/>
      <c r="HWN106" s="75"/>
      <c r="HWO106" s="72"/>
      <c r="HWP106" s="68"/>
      <c r="HWQ106" s="1"/>
      <c r="HWR106" s="73"/>
      <c r="HWS106" s="74"/>
      <c r="HWU106" s="75"/>
      <c r="HWX106" s="75"/>
      <c r="HWY106" s="72"/>
      <c r="HWZ106" s="68"/>
      <c r="HXA106" s="1"/>
      <c r="HXB106" s="73"/>
      <c r="HXC106" s="74"/>
      <c r="HXE106" s="75"/>
      <c r="HXH106" s="75"/>
      <c r="HXI106" s="72"/>
      <c r="HXJ106" s="68"/>
      <c r="HXK106" s="1"/>
      <c r="HXL106" s="73"/>
      <c r="HXM106" s="74"/>
      <c r="HXO106" s="75"/>
      <c r="HXR106" s="75"/>
      <c r="HXS106" s="72"/>
      <c r="HXT106" s="68"/>
      <c r="HXU106" s="1"/>
      <c r="HXV106" s="73"/>
      <c r="HXW106" s="74"/>
      <c r="HXY106" s="75"/>
      <c r="HYB106" s="75"/>
      <c r="HYC106" s="72"/>
      <c r="HYD106" s="68"/>
      <c r="HYE106" s="1"/>
      <c r="HYF106" s="73"/>
      <c r="HYG106" s="74"/>
      <c r="HYI106" s="75"/>
      <c r="HYL106" s="75"/>
      <c r="HYM106" s="72"/>
      <c r="HYN106" s="68"/>
      <c r="HYO106" s="1"/>
      <c r="HYP106" s="73"/>
      <c r="HYQ106" s="74"/>
      <c r="HYS106" s="75"/>
      <c r="HYV106" s="75"/>
      <c r="HYW106" s="72"/>
      <c r="HYX106" s="68"/>
      <c r="HYY106" s="1"/>
      <c r="HYZ106" s="73"/>
      <c r="HZA106" s="74"/>
      <c r="HZC106" s="75"/>
      <c r="HZF106" s="75"/>
      <c r="HZG106" s="72"/>
      <c r="HZH106" s="68"/>
      <c r="HZI106" s="1"/>
      <c r="HZJ106" s="73"/>
      <c r="HZK106" s="74"/>
      <c r="HZM106" s="75"/>
      <c r="HZP106" s="75"/>
      <c r="HZQ106" s="72"/>
      <c r="HZR106" s="68"/>
      <c r="HZS106" s="1"/>
      <c r="HZT106" s="73"/>
      <c r="HZU106" s="74"/>
      <c r="HZW106" s="75"/>
      <c r="HZZ106" s="75"/>
      <c r="IAA106" s="72"/>
      <c r="IAB106" s="68"/>
      <c r="IAC106" s="1"/>
      <c r="IAD106" s="73"/>
      <c r="IAE106" s="74"/>
      <c r="IAG106" s="75"/>
      <c r="IAJ106" s="75"/>
      <c r="IAK106" s="72"/>
      <c r="IAL106" s="68"/>
      <c r="IAM106" s="1"/>
      <c r="IAN106" s="73"/>
      <c r="IAO106" s="74"/>
      <c r="IAQ106" s="75"/>
      <c r="IAT106" s="75"/>
      <c r="IAU106" s="72"/>
      <c r="IAV106" s="68"/>
      <c r="IAW106" s="1"/>
      <c r="IAX106" s="73"/>
      <c r="IAY106" s="74"/>
      <c r="IBA106" s="75"/>
      <c r="IBD106" s="75"/>
      <c r="IBE106" s="72"/>
      <c r="IBF106" s="68"/>
      <c r="IBG106" s="1"/>
      <c r="IBH106" s="73"/>
      <c r="IBI106" s="74"/>
      <c r="IBK106" s="75"/>
      <c r="IBN106" s="75"/>
      <c r="IBO106" s="72"/>
      <c r="IBP106" s="68"/>
      <c r="IBQ106" s="1"/>
      <c r="IBR106" s="73"/>
      <c r="IBS106" s="74"/>
      <c r="IBU106" s="75"/>
      <c r="IBX106" s="75"/>
      <c r="IBY106" s="72"/>
      <c r="IBZ106" s="68"/>
      <c r="ICA106" s="1"/>
      <c r="ICB106" s="73"/>
      <c r="ICC106" s="74"/>
      <c r="ICE106" s="75"/>
      <c r="ICH106" s="75"/>
      <c r="ICI106" s="72"/>
      <c r="ICJ106" s="68"/>
      <c r="ICK106" s="1"/>
      <c r="ICL106" s="73"/>
      <c r="ICM106" s="74"/>
      <c r="ICO106" s="75"/>
      <c r="ICR106" s="75"/>
      <c r="ICS106" s="72"/>
      <c r="ICT106" s="68"/>
      <c r="ICU106" s="1"/>
      <c r="ICV106" s="73"/>
      <c r="ICW106" s="74"/>
      <c r="ICY106" s="75"/>
      <c r="IDB106" s="75"/>
      <c r="IDC106" s="72"/>
      <c r="IDD106" s="68"/>
      <c r="IDE106" s="1"/>
      <c r="IDF106" s="73"/>
      <c r="IDG106" s="74"/>
      <c r="IDI106" s="75"/>
      <c r="IDL106" s="75"/>
      <c r="IDM106" s="72"/>
      <c r="IDN106" s="68"/>
      <c r="IDO106" s="1"/>
      <c r="IDP106" s="73"/>
      <c r="IDQ106" s="74"/>
      <c r="IDS106" s="75"/>
      <c r="IDV106" s="75"/>
      <c r="IDW106" s="72"/>
      <c r="IDX106" s="68"/>
      <c r="IDY106" s="1"/>
      <c r="IDZ106" s="73"/>
      <c r="IEA106" s="74"/>
      <c r="IEC106" s="75"/>
      <c r="IEF106" s="75"/>
      <c r="IEG106" s="72"/>
      <c r="IEH106" s="68"/>
      <c r="IEI106" s="1"/>
      <c r="IEJ106" s="73"/>
      <c r="IEK106" s="74"/>
      <c r="IEM106" s="75"/>
      <c r="IEP106" s="75"/>
      <c r="IEQ106" s="72"/>
      <c r="IER106" s="68"/>
      <c r="IES106" s="1"/>
      <c r="IET106" s="73"/>
      <c r="IEU106" s="74"/>
      <c r="IEW106" s="75"/>
      <c r="IEZ106" s="75"/>
      <c r="IFA106" s="72"/>
      <c r="IFB106" s="68"/>
      <c r="IFC106" s="1"/>
      <c r="IFD106" s="73"/>
      <c r="IFE106" s="74"/>
      <c r="IFG106" s="75"/>
      <c r="IFJ106" s="75"/>
      <c r="IFK106" s="72"/>
      <c r="IFL106" s="68"/>
      <c r="IFM106" s="1"/>
      <c r="IFN106" s="73"/>
      <c r="IFO106" s="74"/>
      <c r="IFQ106" s="75"/>
      <c r="IFT106" s="75"/>
      <c r="IFU106" s="72"/>
      <c r="IFV106" s="68"/>
      <c r="IFW106" s="1"/>
      <c r="IFX106" s="73"/>
      <c r="IFY106" s="74"/>
      <c r="IGA106" s="75"/>
      <c r="IGD106" s="75"/>
      <c r="IGE106" s="72"/>
      <c r="IGF106" s="68"/>
      <c r="IGG106" s="1"/>
      <c r="IGH106" s="73"/>
      <c r="IGI106" s="74"/>
      <c r="IGK106" s="75"/>
      <c r="IGN106" s="75"/>
      <c r="IGO106" s="72"/>
      <c r="IGP106" s="68"/>
      <c r="IGQ106" s="1"/>
      <c r="IGR106" s="73"/>
      <c r="IGS106" s="74"/>
      <c r="IGU106" s="75"/>
      <c r="IGX106" s="75"/>
      <c r="IGY106" s="72"/>
      <c r="IGZ106" s="68"/>
      <c r="IHA106" s="1"/>
      <c r="IHB106" s="73"/>
      <c r="IHC106" s="74"/>
      <c r="IHE106" s="75"/>
      <c r="IHH106" s="75"/>
      <c r="IHI106" s="72"/>
      <c r="IHJ106" s="68"/>
      <c r="IHK106" s="1"/>
      <c r="IHL106" s="73"/>
      <c r="IHM106" s="74"/>
      <c r="IHO106" s="75"/>
      <c r="IHR106" s="75"/>
      <c r="IHS106" s="72"/>
      <c r="IHT106" s="68"/>
      <c r="IHU106" s="1"/>
      <c r="IHV106" s="73"/>
      <c r="IHW106" s="74"/>
      <c r="IHY106" s="75"/>
      <c r="IIB106" s="75"/>
      <c r="IIC106" s="72"/>
      <c r="IID106" s="68"/>
      <c r="IIE106" s="1"/>
      <c r="IIF106" s="73"/>
      <c r="IIG106" s="74"/>
      <c r="III106" s="75"/>
      <c r="IIL106" s="75"/>
      <c r="IIM106" s="72"/>
      <c r="IIN106" s="68"/>
      <c r="IIO106" s="1"/>
      <c r="IIP106" s="73"/>
      <c r="IIQ106" s="74"/>
      <c r="IIS106" s="75"/>
      <c r="IIV106" s="75"/>
      <c r="IIW106" s="72"/>
      <c r="IIX106" s="68"/>
      <c r="IIY106" s="1"/>
      <c r="IIZ106" s="73"/>
      <c r="IJA106" s="74"/>
      <c r="IJC106" s="75"/>
      <c r="IJF106" s="75"/>
      <c r="IJG106" s="72"/>
      <c r="IJH106" s="68"/>
      <c r="IJI106" s="1"/>
      <c r="IJJ106" s="73"/>
      <c r="IJK106" s="74"/>
      <c r="IJM106" s="75"/>
      <c r="IJP106" s="75"/>
      <c r="IJQ106" s="72"/>
      <c r="IJR106" s="68"/>
      <c r="IJS106" s="1"/>
      <c r="IJT106" s="73"/>
      <c r="IJU106" s="74"/>
      <c r="IJW106" s="75"/>
      <c r="IJZ106" s="75"/>
      <c r="IKA106" s="72"/>
      <c r="IKB106" s="68"/>
      <c r="IKC106" s="1"/>
      <c r="IKD106" s="73"/>
      <c r="IKE106" s="74"/>
      <c r="IKG106" s="75"/>
      <c r="IKJ106" s="75"/>
      <c r="IKK106" s="72"/>
      <c r="IKL106" s="68"/>
      <c r="IKM106" s="1"/>
      <c r="IKN106" s="73"/>
      <c r="IKO106" s="74"/>
      <c r="IKQ106" s="75"/>
      <c r="IKT106" s="75"/>
      <c r="IKU106" s="72"/>
      <c r="IKV106" s="68"/>
      <c r="IKW106" s="1"/>
      <c r="IKX106" s="73"/>
      <c r="IKY106" s="74"/>
      <c r="ILA106" s="75"/>
      <c r="ILD106" s="75"/>
      <c r="ILE106" s="72"/>
      <c r="ILF106" s="68"/>
      <c r="ILG106" s="1"/>
      <c r="ILH106" s="73"/>
      <c r="ILI106" s="74"/>
      <c r="ILK106" s="75"/>
      <c r="ILN106" s="75"/>
      <c r="ILO106" s="72"/>
      <c r="ILP106" s="68"/>
      <c r="ILQ106" s="1"/>
      <c r="ILR106" s="73"/>
      <c r="ILS106" s="74"/>
      <c r="ILU106" s="75"/>
      <c r="ILX106" s="75"/>
      <c r="ILY106" s="72"/>
      <c r="ILZ106" s="68"/>
      <c r="IMA106" s="1"/>
      <c r="IMB106" s="73"/>
      <c r="IMC106" s="74"/>
      <c r="IME106" s="75"/>
      <c r="IMH106" s="75"/>
      <c r="IMI106" s="72"/>
      <c r="IMJ106" s="68"/>
      <c r="IMK106" s="1"/>
      <c r="IML106" s="73"/>
      <c r="IMM106" s="74"/>
      <c r="IMO106" s="75"/>
      <c r="IMR106" s="75"/>
      <c r="IMS106" s="72"/>
      <c r="IMT106" s="68"/>
      <c r="IMU106" s="1"/>
      <c r="IMV106" s="73"/>
      <c r="IMW106" s="74"/>
      <c r="IMY106" s="75"/>
      <c r="INB106" s="75"/>
      <c r="INC106" s="72"/>
      <c r="IND106" s="68"/>
      <c r="INE106" s="1"/>
      <c r="INF106" s="73"/>
      <c r="ING106" s="74"/>
      <c r="INI106" s="75"/>
      <c r="INL106" s="75"/>
      <c r="INM106" s="72"/>
      <c r="INN106" s="68"/>
      <c r="INO106" s="1"/>
      <c r="INP106" s="73"/>
      <c r="INQ106" s="74"/>
      <c r="INS106" s="75"/>
      <c r="INV106" s="75"/>
      <c r="INW106" s="72"/>
      <c r="INX106" s="68"/>
      <c r="INY106" s="1"/>
      <c r="INZ106" s="73"/>
      <c r="IOA106" s="74"/>
      <c r="IOC106" s="75"/>
      <c r="IOF106" s="75"/>
      <c r="IOG106" s="72"/>
      <c r="IOH106" s="68"/>
      <c r="IOI106" s="1"/>
      <c r="IOJ106" s="73"/>
      <c r="IOK106" s="74"/>
      <c r="IOM106" s="75"/>
      <c r="IOP106" s="75"/>
      <c r="IOQ106" s="72"/>
      <c r="IOR106" s="68"/>
      <c r="IOS106" s="1"/>
      <c r="IOT106" s="73"/>
      <c r="IOU106" s="74"/>
      <c r="IOW106" s="75"/>
      <c r="IOZ106" s="75"/>
      <c r="IPA106" s="72"/>
      <c r="IPB106" s="68"/>
      <c r="IPC106" s="1"/>
      <c r="IPD106" s="73"/>
      <c r="IPE106" s="74"/>
      <c r="IPG106" s="75"/>
      <c r="IPJ106" s="75"/>
      <c r="IPK106" s="72"/>
      <c r="IPL106" s="68"/>
      <c r="IPM106" s="1"/>
      <c r="IPN106" s="73"/>
      <c r="IPO106" s="74"/>
      <c r="IPQ106" s="75"/>
      <c r="IPT106" s="75"/>
      <c r="IPU106" s="72"/>
      <c r="IPV106" s="68"/>
      <c r="IPW106" s="1"/>
      <c r="IPX106" s="73"/>
      <c r="IPY106" s="74"/>
      <c r="IQA106" s="75"/>
      <c r="IQD106" s="75"/>
      <c r="IQE106" s="72"/>
      <c r="IQF106" s="68"/>
      <c r="IQG106" s="1"/>
      <c r="IQH106" s="73"/>
      <c r="IQI106" s="74"/>
      <c r="IQK106" s="75"/>
      <c r="IQN106" s="75"/>
      <c r="IQO106" s="72"/>
      <c r="IQP106" s="68"/>
      <c r="IQQ106" s="1"/>
      <c r="IQR106" s="73"/>
      <c r="IQS106" s="74"/>
      <c r="IQU106" s="75"/>
      <c r="IQX106" s="75"/>
      <c r="IQY106" s="72"/>
      <c r="IQZ106" s="68"/>
      <c r="IRA106" s="1"/>
      <c r="IRB106" s="73"/>
      <c r="IRC106" s="74"/>
      <c r="IRE106" s="75"/>
      <c r="IRH106" s="75"/>
      <c r="IRI106" s="72"/>
      <c r="IRJ106" s="68"/>
      <c r="IRK106" s="1"/>
      <c r="IRL106" s="73"/>
      <c r="IRM106" s="74"/>
      <c r="IRO106" s="75"/>
      <c r="IRR106" s="75"/>
      <c r="IRS106" s="72"/>
      <c r="IRT106" s="68"/>
      <c r="IRU106" s="1"/>
      <c r="IRV106" s="73"/>
      <c r="IRW106" s="74"/>
      <c r="IRY106" s="75"/>
      <c r="ISB106" s="75"/>
      <c r="ISC106" s="72"/>
      <c r="ISD106" s="68"/>
      <c r="ISE106" s="1"/>
      <c r="ISF106" s="73"/>
      <c r="ISG106" s="74"/>
      <c r="ISI106" s="75"/>
      <c r="ISL106" s="75"/>
      <c r="ISM106" s="72"/>
      <c r="ISN106" s="68"/>
      <c r="ISO106" s="1"/>
      <c r="ISP106" s="73"/>
      <c r="ISQ106" s="74"/>
      <c r="ISS106" s="75"/>
      <c r="ISV106" s="75"/>
      <c r="ISW106" s="72"/>
      <c r="ISX106" s="68"/>
      <c r="ISY106" s="1"/>
      <c r="ISZ106" s="73"/>
      <c r="ITA106" s="74"/>
      <c r="ITC106" s="75"/>
      <c r="ITF106" s="75"/>
      <c r="ITG106" s="72"/>
      <c r="ITH106" s="68"/>
      <c r="ITI106" s="1"/>
      <c r="ITJ106" s="73"/>
      <c r="ITK106" s="74"/>
      <c r="ITM106" s="75"/>
      <c r="ITP106" s="75"/>
      <c r="ITQ106" s="72"/>
      <c r="ITR106" s="68"/>
      <c r="ITS106" s="1"/>
      <c r="ITT106" s="73"/>
      <c r="ITU106" s="74"/>
      <c r="ITW106" s="75"/>
      <c r="ITZ106" s="75"/>
      <c r="IUA106" s="72"/>
      <c r="IUB106" s="68"/>
      <c r="IUC106" s="1"/>
      <c r="IUD106" s="73"/>
      <c r="IUE106" s="74"/>
      <c r="IUG106" s="75"/>
      <c r="IUJ106" s="75"/>
      <c r="IUK106" s="72"/>
      <c r="IUL106" s="68"/>
      <c r="IUM106" s="1"/>
      <c r="IUN106" s="73"/>
      <c r="IUO106" s="74"/>
      <c r="IUQ106" s="75"/>
      <c r="IUT106" s="75"/>
      <c r="IUU106" s="72"/>
      <c r="IUV106" s="68"/>
      <c r="IUW106" s="1"/>
      <c r="IUX106" s="73"/>
      <c r="IUY106" s="74"/>
      <c r="IVA106" s="75"/>
      <c r="IVD106" s="75"/>
      <c r="IVE106" s="72"/>
      <c r="IVF106" s="68"/>
      <c r="IVG106" s="1"/>
      <c r="IVH106" s="73"/>
      <c r="IVI106" s="74"/>
      <c r="IVK106" s="75"/>
      <c r="IVN106" s="75"/>
      <c r="IVO106" s="72"/>
      <c r="IVP106" s="68"/>
      <c r="IVQ106" s="1"/>
      <c r="IVR106" s="73"/>
      <c r="IVS106" s="74"/>
      <c r="IVU106" s="75"/>
      <c r="IVX106" s="75"/>
      <c r="IVY106" s="72"/>
      <c r="IVZ106" s="68"/>
      <c r="IWA106" s="1"/>
      <c r="IWB106" s="73"/>
      <c r="IWC106" s="74"/>
      <c r="IWE106" s="75"/>
      <c r="IWH106" s="75"/>
      <c r="IWI106" s="72"/>
      <c r="IWJ106" s="68"/>
      <c r="IWK106" s="1"/>
      <c r="IWL106" s="73"/>
      <c r="IWM106" s="74"/>
      <c r="IWO106" s="75"/>
      <c r="IWR106" s="75"/>
      <c r="IWS106" s="72"/>
      <c r="IWT106" s="68"/>
      <c r="IWU106" s="1"/>
      <c r="IWV106" s="73"/>
      <c r="IWW106" s="74"/>
      <c r="IWY106" s="75"/>
      <c r="IXB106" s="75"/>
      <c r="IXC106" s="72"/>
      <c r="IXD106" s="68"/>
      <c r="IXE106" s="1"/>
      <c r="IXF106" s="73"/>
      <c r="IXG106" s="74"/>
      <c r="IXI106" s="75"/>
      <c r="IXL106" s="75"/>
      <c r="IXM106" s="72"/>
      <c r="IXN106" s="68"/>
      <c r="IXO106" s="1"/>
      <c r="IXP106" s="73"/>
      <c r="IXQ106" s="74"/>
      <c r="IXS106" s="75"/>
      <c r="IXV106" s="75"/>
      <c r="IXW106" s="72"/>
      <c r="IXX106" s="68"/>
      <c r="IXY106" s="1"/>
      <c r="IXZ106" s="73"/>
      <c r="IYA106" s="74"/>
      <c r="IYC106" s="75"/>
      <c r="IYF106" s="75"/>
      <c r="IYG106" s="72"/>
      <c r="IYH106" s="68"/>
      <c r="IYI106" s="1"/>
      <c r="IYJ106" s="73"/>
      <c r="IYK106" s="74"/>
      <c r="IYM106" s="75"/>
      <c r="IYP106" s="75"/>
      <c r="IYQ106" s="72"/>
      <c r="IYR106" s="68"/>
      <c r="IYS106" s="1"/>
      <c r="IYT106" s="73"/>
      <c r="IYU106" s="74"/>
      <c r="IYW106" s="75"/>
      <c r="IYZ106" s="75"/>
      <c r="IZA106" s="72"/>
      <c r="IZB106" s="68"/>
      <c r="IZC106" s="1"/>
      <c r="IZD106" s="73"/>
      <c r="IZE106" s="74"/>
      <c r="IZG106" s="75"/>
      <c r="IZJ106" s="75"/>
      <c r="IZK106" s="72"/>
      <c r="IZL106" s="68"/>
      <c r="IZM106" s="1"/>
      <c r="IZN106" s="73"/>
      <c r="IZO106" s="74"/>
      <c r="IZQ106" s="75"/>
      <c r="IZT106" s="75"/>
      <c r="IZU106" s="72"/>
      <c r="IZV106" s="68"/>
      <c r="IZW106" s="1"/>
      <c r="IZX106" s="73"/>
      <c r="IZY106" s="74"/>
      <c r="JAA106" s="75"/>
      <c r="JAD106" s="75"/>
      <c r="JAE106" s="72"/>
      <c r="JAF106" s="68"/>
      <c r="JAG106" s="1"/>
      <c r="JAH106" s="73"/>
      <c r="JAI106" s="74"/>
      <c r="JAK106" s="75"/>
      <c r="JAN106" s="75"/>
      <c r="JAO106" s="72"/>
      <c r="JAP106" s="68"/>
      <c r="JAQ106" s="1"/>
      <c r="JAR106" s="73"/>
      <c r="JAS106" s="74"/>
      <c r="JAU106" s="75"/>
      <c r="JAX106" s="75"/>
      <c r="JAY106" s="72"/>
      <c r="JAZ106" s="68"/>
      <c r="JBA106" s="1"/>
      <c r="JBB106" s="73"/>
      <c r="JBC106" s="74"/>
      <c r="JBE106" s="75"/>
      <c r="JBH106" s="75"/>
      <c r="JBI106" s="72"/>
      <c r="JBJ106" s="68"/>
      <c r="JBK106" s="1"/>
      <c r="JBL106" s="73"/>
      <c r="JBM106" s="74"/>
      <c r="JBO106" s="75"/>
      <c r="JBR106" s="75"/>
      <c r="JBS106" s="72"/>
      <c r="JBT106" s="68"/>
      <c r="JBU106" s="1"/>
      <c r="JBV106" s="73"/>
      <c r="JBW106" s="74"/>
      <c r="JBY106" s="75"/>
      <c r="JCB106" s="75"/>
      <c r="JCC106" s="72"/>
      <c r="JCD106" s="68"/>
      <c r="JCE106" s="1"/>
      <c r="JCF106" s="73"/>
      <c r="JCG106" s="74"/>
      <c r="JCI106" s="75"/>
      <c r="JCL106" s="75"/>
      <c r="JCM106" s="72"/>
      <c r="JCN106" s="68"/>
      <c r="JCO106" s="1"/>
      <c r="JCP106" s="73"/>
      <c r="JCQ106" s="74"/>
      <c r="JCS106" s="75"/>
      <c r="JCV106" s="75"/>
      <c r="JCW106" s="72"/>
      <c r="JCX106" s="68"/>
      <c r="JCY106" s="1"/>
      <c r="JCZ106" s="73"/>
      <c r="JDA106" s="74"/>
      <c r="JDC106" s="75"/>
      <c r="JDF106" s="75"/>
      <c r="JDG106" s="72"/>
      <c r="JDH106" s="68"/>
      <c r="JDI106" s="1"/>
      <c r="JDJ106" s="73"/>
      <c r="JDK106" s="74"/>
      <c r="JDM106" s="75"/>
      <c r="JDP106" s="75"/>
      <c r="JDQ106" s="72"/>
      <c r="JDR106" s="68"/>
      <c r="JDS106" s="1"/>
      <c r="JDT106" s="73"/>
      <c r="JDU106" s="74"/>
      <c r="JDW106" s="75"/>
      <c r="JDZ106" s="75"/>
      <c r="JEA106" s="72"/>
      <c r="JEB106" s="68"/>
      <c r="JEC106" s="1"/>
      <c r="JED106" s="73"/>
      <c r="JEE106" s="74"/>
      <c r="JEG106" s="75"/>
      <c r="JEJ106" s="75"/>
      <c r="JEK106" s="72"/>
      <c r="JEL106" s="68"/>
      <c r="JEM106" s="1"/>
      <c r="JEN106" s="73"/>
      <c r="JEO106" s="74"/>
      <c r="JEQ106" s="75"/>
      <c r="JET106" s="75"/>
      <c r="JEU106" s="72"/>
      <c r="JEV106" s="68"/>
      <c r="JEW106" s="1"/>
      <c r="JEX106" s="73"/>
      <c r="JEY106" s="74"/>
      <c r="JFA106" s="75"/>
      <c r="JFD106" s="75"/>
      <c r="JFE106" s="72"/>
      <c r="JFF106" s="68"/>
      <c r="JFG106" s="1"/>
      <c r="JFH106" s="73"/>
      <c r="JFI106" s="74"/>
      <c r="JFK106" s="75"/>
      <c r="JFN106" s="75"/>
      <c r="JFO106" s="72"/>
      <c r="JFP106" s="68"/>
      <c r="JFQ106" s="1"/>
      <c r="JFR106" s="73"/>
      <c r="JFS106" s="74"/>
      <c r="JFU106" s="75"/>
      <c r="JFX106" s="75"/>
      <c r="JFY106" s="72"/>
      <c r="JFZ106" s="68"/>
      <c r="JGA106" s="1"/>
      <c r="JGB106" s="73"/>
      <c r="JGC106" s="74"/>
      <c r="JGE106" s="75"/>
      <c r="JGH106" s="75"/>
      <c r="JGI106" s="72"/>
      <c r="JGJ106" s="68"/>
      <c r="JGK106" s="1"/>
      <c r="JGL106" s="73"/>
      <c r="JGM106" s="74"/>
      <c r="JGO106" s="75"/>
      <c r="JGR106" s="75"/>
      <c r="JGS106" s="72"/>
      <c r="JGT106" s="68"/>
      <c r="JGU106" s="1"/>
      <c r="JGV106" s="73"/>
      <c r="JGW106" s="74"/>
      <c r="JGY106" s="75"/>
      <c r="JHB106" s="75"/>
      <c r="JHC106" s="72"/>
      <c r="JHD106" s="68"/>
      <c r="JHE106" s="1"/>
      <c r="JHF106" s="73"/>
      <c r="JHG106" s="74"/>
      <c r="JHI106" s="75"/>
      <c r="JHL106" s="75"/>
      <c r="JHM106" s="72"/>
      <c r="JHN106" s="68"/>
      <c r="JHO106" s="1"/>
      <c r="JHP106" s="73"/>
      <c r="JHQ106" s="74"/>
      <c r="JHS106" s="75"/>
      <c r="JHV106" s="75"/>
      <c r="JHW106" s="72"/>
      <c r="JHX106" s="68"/>
      <c r="JHY106" s="1"/>
      <c r="JHZ106" s="73"/>
      <c r="JIA106" s="74"/>
      <c r="JIC106" s="75"/>
      <c r="JIF106" s="75"/>
      <c r="JIG106" s="72"/>
      <c r="JIH106" s="68"/>
      <c r="JII106" s="1"/>
      <c r="JIJ106" s="73"/>
      <c r="JIK106" s="74"/>
      <c r="JIM106" s="75"/>
      <c r="JIP106" s="75"/>
      <c r="JIQ106" s="72"/>
      <c r="JIR106" s="68"/>
      <c r="JIS106" s="1"/>
      <c r="JIT106" s="73"/>
      <c r="JIU106" s="74"/>
      <c r="JIW106" s="75"/>
      <c r="JIZ106" s="75"/>
      <c r="JJA106" s="72"/>
      <c r="JJB106" s="68"/>
      <c r="JJC106" s="1"/>
      <c r="JJD106" s="73"/>
      <c r="JJE106" s="74"/>
      <c r="JJG106" s="75"/>
      <c r="JJJ106" s="75"/>
      <c r="JJK106" s="72"/>
      <c r="JJL106" s="68"/>
      <c r="JJM106" s="1"/>
      <c r="JJN106" s="73"/>
      <c r="JJO106" s="74"/>
      <c r="JJQ106" s="75"/>
      <c r="JJT106" s="75"/>
      <c r="JJU106" s="72"/>
      <c r="JJV106" s="68"/>
      <c r="JJW106" s="1"/>
      <c r="JJX106" s="73"/>
      <c r="JJY106" s="74"/>
      <c r="JKA106" s="75"/>
      <c r="JKD106" s="75"/>
      <c r="JKE106" s="72"/>
      <c r="JKF106" s="68"/>
      <c r="JKG106" s="1"/>
      <c r="JKH106" s="73"/>
      <c r="JKI106" s="74"/>
      <c r="JKK106" s="75"/>
      <c r="JKN106" s="75"/>
      <c r="JKO106" s="72"/>
      <c r="JKP106" s="68"/>
      <c r="JKQ106" s="1"/>
      <c r="JKR106" s="73"/>
      <c r="JKS106" s="74"/>
      <c r="JKU106" s="75"/>
      <c r="JKX106" s="75"/>
      <c r="JKY106" s="72"/>
      <c r="JKZ106" s="68"/>
      <c r="JLA106" s="1"/>
      <c r="JLB106" s="73"/>
      <c r="JLC106" s="74"/>
      <c r="JLE106" s="75"/>
      <c r="JLH106" s="75"/>
      <c r="JLI106" s="72"/>
      <c r="JLJ106" s="68"/>
      <c r="JLK106" s="1"/>
      <c r="JLL106" s="73"/>
      <c r="JLM106" s="74"/>
      <c r="JLO106" s="75"/>
      <c r="JLR106" s="75"/>
      <c r="JLS106" s="72"/>
      <c r="JLT106" s="68"/>
      <c r="JLU106" s="1"/>
      <c r="JLV106" s="73"/>
      <c r="JLW106" s="74"/>
      <c r="JLY106" s="75"/>
      <c r="JMB106" s="75"/>
      <c r="JMC106" s="72"/>
      <c r="JMD106" s="68"/>
      <c r="JME106" s="1"/>
      <c r="JMF106" s="73"/>
      <c r="JMG106" s="74"/>
      <c r="JMI106" s="75"/>
      <c r="JML106" s="75"/>
      <c r="JMM106" s="72"/>
      <c r="JMN106" s="68"/>
      <c r="JMO106" s="1"/>
      <c r="JMP106" s="73"/>
      <c r="JMQ106" s="74"/>
      <c r="JMS106" s="75"/>
      <c r="JMV106" s="75"/>
      <c r="JMW106" s="72"/>
      <c r="JMX106" s="68"/>
      <c r="JMY106" s="1"/>
      <c r="JMZ106" s="73"/>
      <c r="JNA106" s="74"/>
      <c r="JNC106" s="75"/>
      <c r="JNF106" s="75"/>
      <c r="JNG106" s="72"/>
      <c r="JNH106" s="68"/>
      <c r="JNI106" s="1"/>
      <c r="JNJ106" s="73"/>
      <c r="JNK106" s="74"/>
      <c r="JNM106" s="75"/>
      <c r="JNP106" s="75"/>
      <c r="JNQ106" s="72"/>
      <c r="JNR106" s="68"/>
      <c r="JNS106" s="1"/>
      <c r="JNT106" s="73"/>
      <c r="JNU106" s="74"/>
      <c r="JNW106" s="75"/>
      <c r="JNZ106" s="75"/>
      <c r="JOA106" s="72"/>
      <c r="JOB106" s="68"/>
      <c r="JOC106" s="1"/>
      <c r="JOD106" s="73"/>
      <c r="JOE106" s="74"/>
      <c r="JOG106" s="75"/>
      <c r="JOJ106" s="75"/>
      <c r="JOK106" s="72"/>
      <c r="JOL106" s="68"/>
      <c r="JOM106" s="1"/>
      <c r="JON106" s="73"/>
      <c r="JOO106" s="74"/>
      <c r="JOQ106" s="75"/>
      <c r="JOT106" s="75"/>
      <c r="JOU106" s="72"/>
      <c r="JOV106" s="68"/>
      <c r="JOW106" s="1"/>
      <c r="JOX106" s="73"/>
      <c r="JOY106" s="74"/>
      <c r="JPA106" s="75"/>
      <c r="JPD106" s="75"/>
      <c r="JPE106" s="72"/>
      <c r="JPF106" s="68"/>
      <c r="JPG106" s="1"/>
      <c r="JPH106" s="73"/>
      <c r="JPI106" s="74"/>
      <c r="JPK106" s="75"/>
      <c r="JPN106" s="75"/>
      <c r="JPO106" s="72"/>
      <c r="JPP106" s="68"/>
      <c r="JPQ106" s="1"/>
      <c r="JPR106" s="73"/>
      <c r="JPS106" s="74"/>
      <c r="JPU106" s="75"/>
      <c r="JPX106" s="75"/>
      <c r="JPY106" s="72"/>
      <c r="JPZ106" s="68"/>
      <c r="JQA106" s="1"/>
      <c r="JQB106" s="73"/>
      <c r="JQC106" s="74"/>
      <c r="JQE106" s="75"/>
      <c r="JQH106" s="75"/>
      <c r="JQI106" s="72"/>
      <c r="JQJ106" s="68"/>
      <c r="JQK106" s="1"/>
      <c r="JQL106" s="73"/>
      <c r="JQM106" s="74"/>
      <c r="JQO106" s="75"/>
      <c r="JQR106" s="75"/>
      <c r="JQS106" s="72"/>
      <c r="JQT106" s="68"/>
      <c r="JQU106" s="1"/>
      <c r="JQV106" s="73"/>
      <c r="JQW106" s="74"/>
      <c r="JQY106" s="75"/>
      <c r="JRB106" s="75"/>
      <c r="JRC106" s="72"/>
      <c r="JRD106" s="68"/>
      <c r="JRE106" s="1"/>
      <c r="JRF106" s="73"/>
      <c r="JRG106" s="74"/>
      <c r="JRI106" s="75"/>
      <c r="JRL106" s="75"/>
      <c r="JRM106" s="72"/>
      <c r="JRN106" s="68"/>
      <c r="JRO106" s="1"/>
      <c r="JRP106" s="73"/>
      <c r="JRQ106" s="74"/>
      <c r="JRS106" s="75"/>
      <c r="JRV106" s="75"/>
      <c r="JRW106" s="72"/>
      <c r="JRX106" s="68"/>
      <c r="JRY106" s="1"/>
      <c r="JRZ106" s="73"/>
      <c r="JSA106" s="74"/>
      <c r="JSC106" s="75"/>
      <c r="JSF106" s="75"/>
      <c r="JSG106" s="72"/>
      <c r="JSH106" s="68"/>
      <c r="JSI106" s="1"/>
      <c r="JSJ106" s="73"/>
      <c r="JSK106" s="74"/>
      <c r="JSM106" s="75"/>
      <c r="JSP106" s="75"/>
      <c r="JSQ106" s="72"/>
      <c r="JSR106" s="68"/>
      <c r="JSS106" s="1"/>
      <c r="JST106" s="73"/>
      <c r="JSU106" s="74"/>
      <c r="JSW106" s="75"/>
      <c r="JSZ106" s="75"/>
      <c r="JTA106" s="72"/>
      <c r="JTB106" s="68"/>
      <c r="JTC106" s="1"/>
      <c r="JTD106" s="73"/>
      <c r="JTE106" s="74"/>
      <c r="JTG106" s="75"/>
      <c r="JTJ106" s="75"/>
      <c r="JTK106" s="72"/>
      <c r="JTL106" s="68"/>
      <c r="JTM106" s="1"/>
      <c r="JTN106" s="73"/>
      <c r="JTO106" s="74"/>
      <c r="JTQ106" s="75"/>
      <c r="JTT106" s="75"/>
      <c r="JTU106" s="72"/>
      <c r="JTV106" s="68"/>
      <c r="JTW106" s="1"/>
      <c r="JTX106" s="73"/>
      <c r="JTY106" s="74"/>
      <c r="JUA106" s="75"/>
      <c r="JUD106" s="75"/>
      <c r="JUE106" s="72"/>
      <c r="JUF106" s="68"/>
      <c r="JUG106" s="1"/>
      <c r="JUH106" s="73"/>
      <c r="JUI106" s="74"/>
      <c r="JUK106" s="75"/>
      <c r="JUN106" s="75"/>
      <c r="JUO106" s="72"/>
      <c r="JUP106" s="68"/>
      <c r="JUQ106" s="1"/>
      <c r="JUR106" s="73"/>
      <c r="JUS106" s="74"/>
      <c r="JUU106" s="75"/>
      <c r="JUX106" s="75"/>
      <c r="JUY106" s="72"/>
      <c r="JUZ106" s="68"/>
      <c r="JVA106" s="1"/>
      <c r="JVB106" s="73"/>
      <c r="JVC106" s="74"/>
      <c r="JVE106" s="75"/>
      <c r="JVH106" s="75"/>
      <c r="JVI106" s="72"/>
      <c r="JVJ106" s="68"/>
      <c r="JVK106" s="1"/>
      <c r="JVL106" s="73"/>
      <c r="JVM106" s="74"/>
      <c r="JVO106" s="75"/>
      <c r="JVR106" s="75"/>
      <c r="JVS106" s="72"/>
      <c r="JVT106" s="68"/>
      <c r="JVU106" s="1"/>
      <c r="JVV106" s="73"/>
      <c r="JVW106" s="74"/>
      <c r="JVY106" s="75"/>
      <c r="JWB106" s="75"/>
      <c r="JWC106" s="72"/>
      <c r="JWD106" s="68"/>
      <c r="JWE106" s="1"/>
      <c r="JWF106" s="73"/>
      <c r="JWG106" s="74"/>
      <c r="JWI106" s="75"/>
      <c r="JWL106" s="75"/>
      <c r="JWM106" s="72"/>
      <c r="JWN106" s="68"/>
      <c r="JWO106" s="1"/>
      <c r="JWP106" s="73"/>
      <c r="JWQ106" s="74"/>
      <c r="JWS106" s="75"/>
      <c r="JWV106" s="75"/>
      <c r="JWW106" s="72"/>
      <c r="JWX106" s="68"/>
      <c r="JWY106" s="1"/>
      <c r="JWZ106" s="73"/>
      <c r="JXA106" s="74"/>
      <c r="JXC106" s="75"/>
      <c r="JXF106" s="75"/>
      <c r="JXG106" s="72"/>
      <c r="JXH106" s="68"/>
      <c r="JXI106" s="1"/>
      <c r="JXJ106" s="73"/>
      <c r="JXK106" s="74"/>
      <c r="JXM106" s="75"/>
      <c r="JXP106" s="75"/>
      <c r="JXQ106" s="72"/>
      <c r="JXR106" s="68"/>
      <c r="JXS106" s="1"/>
      <c r="JXT106" s="73"/>
      <c r="JXU106" s="74"/>
      <c r="JXW106" s="75"/>
      <c r="JXZ106" s="75"/>
      <c r="JYA106" s="72"/>
      <c r="JYB106" s="68"/>
      <c r="JYC106" s="1"/>
      <c r="JYD106" s="73"/>
      <c r="JYE106" s="74"/>
      <c r="JYG106" s="75"/>
      <c r="JYJ106" s="75"/>
      <c r="JYK106" s="72"/>
      <c r="JYL106" s="68"/>
      <c r="JYM106" s="1"/>
      <c r="JYN106" s="73"/>
      <c r="JYO106" s="74"/>
      <c r="JYQ106" s="75"/>
      <c r="JYT106" s="75"/>
      <c r="JYU106" s="72"/>
      <c r="JYV106" s="68"/>
      <c r="JYW106" s="1"/>
      <c r="JYX106" s="73"/>
      <c r="JYY106" s="74"/>
      <c r="JZA106" s="75"/>
      <c r="JZD106" s="75"/>
      <c r="JZE106" s="72"/>
      <c r="JZF106" s="68"/>
      <c r="JZG106" s="1"/>
      <c r="JZH106" s="73"/>
      <c r="JZI106" s="74"/>
      <c r="JZK106" s="75"/>
      <c r="JZN106" s="75"/>
      <c r="JZO106" s="72"/>
      <c r="JZP106" s="68"/>
      <c r="JZQ106" s="1"/>
      <c r="JZR106" s="73"/>
      <c r="JZS106" s="74"/>
      <c r="JZU106" s="75"/>
      <c r="JZX106" s="75"/>
      <c r="JZY106" s="72"/>
      <c r="JZZ106" s="68"/>
      <c r="KAA106" s="1"/>
      <c r="KAB106" s="73"/>
      <c r="KAC106" s="74"/>
      <c r="KAE106" s="75"/>
      <c r="KAH106" s="75"/>
      <c r="KAI106" s="72"/>
      <c r="KAJ106" s="68"/>
      <c r="KAK106" s="1"/>
      <c r="KAL106" s="73"/>
      <c r="KAM106" s="74"/>
      <c r="KAO106" s="75"/>
      <c r="KAR106" s="75"/>
      <c r="KAS106" s="72"/>
      <c r="KAT106" s="68"/>
      <c r="KAU106" s="1"/>
      <c r="KAV106" s="73"/>
      <c r="KAW106" s="74"/>
      <c r="KAY106" s="75"/>
      <c r="KBB106" s="75"/>
      <c r="KBC106" s="72"/>
      <c r="KBD106" s="68"/>
      <c r="KBE106" s="1"/>
      <c r="KBF106" s="73"/>
      <c r="KBG106" s="74"/>
      <c r="KBI106" s="75"/>
      <c r="KBL106" s="75"/>
      <c r="KBM106" s="72"/>
      <c r="KBN106" s="68"/>
      <c r="KBO106" s="1"/>
      <c r="KBP106" s="73"/>
      <c r="KBQ106" s="74"/>
      <c r="KBS106" s="75"/>
      <c r="KBV106" s="75"/>
      <c r="KBW106" s="72"/>
      <c r="KBX106" s="68"/>
      <c r="KBY106" s="1"/>
      <c r="KBZ106" s="73"/>
      <c r="KCA106" s="74"/>
      <c r="KCC106" s="75"/>
      <c r="KCF106" s="75"/>
      <c r="KCG106" s="72"/>
      <c r="KCH106" s="68"/>
      <c r="KCI106" s="1"/>
      <c r="KCJ106" s="73"/>
      <c r="KCK106" s="74"/>
      <c r="KCM106" s="75"/>
      <c r="KCP106" s="75"/>
      <c r="KCQ106" s="72"/>
      <c r="KCR106" s="68"/>
      <c r="KCS106" s="1"/>
      <c r="KCT106" s="73"/>
      <c r="KCU106" s="74"/>
      <c r="KCW106" s="75"/>
      <c r="KCZ106" s="75"/>
      <c r="KDA106" s="72"/>
      <c r="KDB106" s="68"/>
      <c r="KDC106" s="1"/>
      <c r="KDD106" s="73"/>
      <c r="KDE106" s="74"/>
      <c r="KDG106" s="75"/>
      <c r="KDJ106" s="75"/>
      <c r="KDK106" s="72"/>
      <c r="KDL106" s="68"/>
      <c r="KDM106" s="1"/>
      <c r="KDN106" s="73"/>
      <c r="KDO106" s="74"/>
      <c r="KDQ106" s="75"/>
      <c r="KDT106" s="75"/>
      <c r="KDU106" s="72"/>
      <c r="KDV106" s="68"/>
      <c r="KDW106" s="1"/>
      <c r="KDX106" s="73"/>
      <c r="KDY106" s="74"/>
      <c r="KEA106" s="75"/>
      <c r="KED106" s="75"/>
      <c r="KEE106" s="72"/>
      <c r="KEF106" s="68"/>
      <c r="KEG106" s="1"/>
      <c r="KEH106" s="73"/>
      <c r="KEI106" s="74"/>
      <c r="KEK106" s="75"/>
      <c r="KEN106" s="75"/>
      <c r="KEO106" s="72"/>
      <c r="KEP106" s="68"/>
      <c r="KEQ106" s="1"/>
      <c r="KER106" s="73"/>
      <c r="KES106" s="74"/>
      <c r="KEU106" s="75"/>
      <c r="KEX106" s="75"/>
      <c r="KEY106" s="72"/>
      <c r="KEZ106" s="68"/>
      <c r="KFA106" s="1"/>
      <c r="KFB106" s="73"/>
      <c r="KFC106" s="74"/>
      <c r="KFE106" s="75"/>
      <c r="KFH106" s="75"/>
      <c r="KFI106" s="72"/>
      <c r="KFJ106" s="68"/>
      <c r="KFK106" s="1"/>
      <c r="KFL106" s="73"/>
      <c r="KFM106" s="74"/>
      <c r="KFO106" s="75"/>
      <c r="KFR106" s="75"/>
      <c r="KFS106" s="72"/>
      <c r="KFT106" s="68"/>
      <c r="KFU106" s="1"/>
      <c r="KFV106" s="73"/>
      <c r="KFW106" s="74"/>
      <c r="KFY106" s="75"/>
      <c r="KGB106" s="75"/>
      <c r="KGC106" s="72"/>
      <c r="KGD106" s="68"/>
      <c r="KGE106" s="1"/>
      <c r="KGF106" s="73"/>
      <c r="KGG106" s="74"/>
      <c r="KGI106" s="75"/>
      <c r="KGL106" s="75"/>
      <c r="KGM106" s="72"/>
      <c r="KGN106" s="68"/>
      <c r="KGO106" s="1"/>
      <c r="KGP106" s="73"/>
      <c r="KGQ106" s="74"/>
      <c r="KGS106" s="75"/>
      <c r="KGV106" s="75"/>
      <c r="KGW106" s="72"/>
      <c r="KGX106" s="68"/>
      <c r="KGY106" s="1"/>
      <c r="KGZ106" s="73"/>
      <c r="KHA106" s="74"/>
      <c r="KHC106" s="75"/>
      <c r="KHF106" s="75"/>
      <c r="KHG106" s="72"/>
      <c r="KHH106" s="68"/>
      <c r="KHI106" s="1"/>
      <c r="KHJ106" s="73"/>
      <c r="KHK106" s="74"/>
      <c r="KHM106" s="75"/>
      <c r="KHP106" s="75"/>
      <c r="KHQ106" s="72"/>
      <c r="KHR106" s="68"/>
      <c r="KHS106" s="1"/>
      <c r="KHT106" s="73"/>
      <c r="KHU106" s="74"/>
      <c r="KHW106" s="75"/>
      <c r="KHZ106" s="75"/>
      <c r="KIA106" s="72"/>
      <c r="KIB106" s="68"/>
      <c r="KIC106" s="1"/>
      <c r="KID106" s="73"/>
      <c r="KIE106" s="74"/>
      <c r="KIG106" s="75"/>
      <c r="KIJ106" s="75"/>
      <c r="KIK106" s="72"/>
      <c r="KIL106" s="68"/>
      <c r="KIM106" s="1"/>
      <c r="KIN106" s="73"/>
      <c r="KIO106" s="74"/>
      <c r="KIQ106" s="75"/>
      <c r="KIT106" s="75"/>
      <c r="KIU106" s="72"/>
      <c r="KIV106" s="68"/>
      <c r="KIW106" s="1"/>
      <c r="KIX106" s="73"/>
      <c r="KIY106" s="74"/>
      <c r="KJA106" s="75"/>
      <c r="KJD106" s="75"/>
      <c r="KJE106" s="72"/>
      <c r="KJF106" s="68"/>
      <c r="KJG106" s="1"/>
      <c r="KJH106" s="73"/>
      <c r="KJI106" s="74"/>
      <c r="KJK106" s="75"/>
      <c r="KJN106" s="75"/>
      <c r="KJO106" s="72"/>
      <c r="KJP106" s="68"/>
      <c r="KJQ106" s="1"/>
      <c r="KJR106" s="73"/>
      <c r="KJS106" s="74"/>
      <c r="KJU106" s="75"/>
      <c r="KJX106" s="75"/>
      <c r="KJY106" s="72"/>
      <c r="KJZ106" s="68"/>
      <c r="KKA106" s="1"/>
      <c r="KKB106" s="73"/>
      <c r="KKC106" s="74"/>
      <c r="KKE106" s="75"/>
      <c r="KKH106" s="75"/>
      <c r="KKI106" s="72"/>
      <c r="KKJ106" s="68"/>
      <c r="KKK106" s="1"/>
      <c r="KKL106" s="73"/>
      <c r="KKM106" s="74"/>
      <c r="KKO106" s="75"/>
      <c r="KKR106" s="75"/>
      <c r="KKS106" s="72"/>
      <c r="KKT106" s="68"/>
      <c r="KKU106" s="1"/>
      <c r="KKV106" s="73"/>
      <c r="KKW106" s="74"/>
      <c r="KKY106" s="75"/>
      <c r="KLB106" s="75"/>
      <c r="KLC106" s="72"/>
      <c r="KLD106" s="68"/>
      <c r="KLE106" s="1"/>
      <c r="KLF106" s="73"/>
      <c r="KLG106" s="74"/>
      <c r="KLI106" s="75"/>
      <c r="KLL106" s="75"/>
      <c r="KLM106" s="72"/>
      <c r="KLN106" s="68"/>
      <c r="KLO106" s="1"/>
      <c r="KLP106" s="73"/>
      <c r="KLQ106" s="74"/>
      <c r="KLS106" s="75"/>
      <c r="KLV106" s="75"/>
      <c r="KLW106" s="72"/>
      <c r="KLX106" s="68"/>
      <c r="KLY106" s="1"/>
      <c r="KLZ106" s="73"/>
      <c r="KMA106" s="74"/>
      <c r="KMC106" s="75"/>
      <c r="KMF106" s="75"/>
      <c r="KMG106" s="72"/>
      <c r="KMH106" s="68"/>
      <c r="KMI106" s="1"/>
      <c r="KMJ106" s="73"/>
      <c r="KMK106" s="74"/>
      <c r="KMM106" s="75"/>
      <c r="KMP106" s="75"/>
      <c r="KMQ106" s="72"/>
      <c r="KMR106" s="68"/>
      <c r="KMS106" s="1"/>
      <c r="KMT106" s="73"/>
      <c r="KMU106" s="74"/>
      <c r="KMW106" s="75"/>
      <c r="KMZ106" s="75"/>
      <c r="KNA106" s="72"/>
      <c r="KNB106" s="68"/>
      <c r="KNC106" s="1"/>
      <c r="KND106" s="73"/>
      <c r="KNE106" s="74"/>
      <c r="KNG106" s="75"/>
      <c r="KNJ106" s="75"/>
      <c r="KNK106" s="72"/>
      <c r="KNL106" s="68"/>
      <c r="KNM106" s="1"/>
      <c r="KNN106" s="73"/>
      <c r="KNO106" s="74"/>
      <c r="KNQ106" s="75"/>
      <c r="KNT106" s="75"/>
      <c r="KNU106" s="72"/>
      <c r="KNV106" s="68"/>
      <c r="KNW106" s="1"/>
      <c r="KNX106" s="73"/>
      <c r="KNY106" s="74"/>
      <c r="KOA106" s="75"/>
      <c r="KOD106" s="75"/>
      <c r="KOE106" s="72"/>
      <c r="KOF106" s="68"/>
      <c r="KOG106" s="1"/>
      <c r="KOH106" s="73"/>
      <c r="KOI106" s="74"/>
      <c r="KOK106" s="75"/>
      <c r="KON106" s="75"/>
      <c r="KOO106" s="72"/>
      <c r="KOP106" s="68"/>
      <c r="KOQ106" s="1"/>
      <c r="KOR106" s="73"/>
      <c r="KOS106" s="74"/>
      <c r="KOU106" s="75"/>
      <c r="KOX106" s="75"/>
      <c r="KOY106" s="72"/>
      <c r="KOZ106" s="68"/>
      <c r="KPA106" s="1"/>
      <c r="KPB106" s="73"/>
      <c r="KPC106" s="74"/>
      <c r="KPE106" s="75"/>
      <c r="KPH106" s="75"/>
      <c r="KPI106" s="72"/>
      <c r="KPJ106" s="68"/>
      <c r="KPK106" s="1"/>
      <c r="KPL106" s="73"/>
      <c r="KPM106" s="74"/>
      <c r="KPO106" s="75"/>
      <c r="KPR106" s="75"/>
      <c r="KPS106" s="72"/>
      <c r="KPT106" s="68"/>
      <c r="KPU106" s="1"/>
      <c r="KPV106" s="73"/>
      <c r="KPW106" s="74"/>
      <c r="KPY106" s="75"/>
      <c r="KQB106" s="75"/>
      <c r="KQC106" s="72"/>
      <c r="KQD106" s="68"/>
      <c r="KQE106" s="1"/>
      <c r="KQF106" s="73"/>
      <c r="KQG106" s="74"/>
      <c r="KQI106" s="75"/>
      <c r="KQL106" s="75"/>
      <c r="KQM106" s="72"/>
      <c r="KQN106" s="68"/>
      <c r="KQO106" s="1"/>
      <c r="KQP106" s="73"/>
      <c r="KQQ106" s="74"/>
      <c r="KQS106" s="75"/>
      <c r="KQV106" s="75"/>
      <c r="KQW106" s="72"/>
      <c r="KQX106" s="68"/>
      <c r="KQY106" s="1"/>
      <c r="KQZ106" s="73"/>
      <c r="KRA106" s="74"/>
      <c r="KRC106" s="75"/>
      <c r="KRF106" s="75"/>
      <c r="KRG106" s="72"/>
      <c r="KRH106" s="68"/>
      <c r="KRI106" s="1"/>
      <c r="KRJ106" s="73"/>
      <c r="KRK106" s="74"/>
      <c r="KRM106" s="75"/>
      <c r="KRP106" s="75"/>
      <c r="KRQ106" s="72"/>
      <c r="KRR106" s="68"/>
      <c r="KRS106" s="1"/>
      <c r="KRT106" s="73"/>
      <c r="KRU106" s="74"/>
      <c r="KRW106" s="75"/>
      <c r="KRZ106" s="75"/>
      <c r="KSA106" s="72"/>
      <c r="KSB106" s="68"/>
      <c r="KSC106" s="1"/>
      <c r="KSD106" s="73"/>
      <c r="KSE106" s="74"/>
      <c r="KSG106" s="75"/>
      <c r="KSJ106" s="75"/>
      <c r="KSK106" s="72"/>
      <c r="KSL106" s="68"/>
      <c r="KSM106" s="1"/>
      <c r="KSN106" s="73"/>
      <c r="KSO106" s="74"/>
      <c r="KSQ106" s="75"/>
      <c r="KST106" s="75"/>
      <c r="KSU106" s="72"/>
      <c r="KSV106" s="68"/>
      <c r="KSW106" s="1"/>
      <c r="KSX106" s="73"/>
      <c r="KSY106" s="74"/>
      <c r="KTA106" s="75"/>
      <c r="KTD106" s="75"/>
      <c r="KTE106" s="72"/>
      <c r="KTF106" s="68"/>
      <c r="KTG106" s="1"/>
      <c r="KTH106" s="73"/>
      <c r="KTI106" s="74"/>
      <c r="KTK106" s="75"/>
      <c r="KTN106" s="75"/>
      <c r="KTO106" s="72"/>
      <c r="KTP106" s="68"/>
      <c r="KTQ106" s="1"/>
      <c r="KTR106" s="73"/>
      <c r="KTS106" s="74"/>
      <c r="KTU106" s="75"/>
      <c r="KTX106" s="75"/>
      <c r="KTY106" s="72"/>
      <c r="KTZ106" s="68"/>
      <c r="KUA106" s="1"/>
      <c r="KUB106" s="73"/>
      <c r="KUC106" s="74"/>
      <c r="KUE106" s="75"/>
      <c r="KUH106" s="75"/>
      <c r="KUI106" s="72"/>
      <c r="KUJ106" s="68"/>
      <c r="KUK106" s="1"/>
      <c r="KUL106" s="73"/>
      <c r="KUM106" s="74"/>
      <c r="KUO106" s="75"/>
      <c r="KUR106" s="75"/>
      <c r="KUS106" s="72"/>
      <c r="KUT106" s="68"/>
      <c r="KUU106" s="1"/>
      <c r="KUV106" s="73"/>
      <c r="KUW106" s="74"/>
      <c r="KUY106" s="75"/>
      <c r="KVB106" s="75"/>
      <c r="KVC106" s="72"/>
      <c r="KVD106" s="68"/>
      <c r="KVE106" s="1"/>
      <c r="KVF106" s="73"/>
      <c r="KVG106" s="74"/>
      <c r="KVI106" s="75"/>
      <c r="KVL106" s="75"/>
      <c r="KVM106" s="72"/>
      <c r="KVN106" s="68"/>
      <c r="KVO106" s="1"/>
      <c r="KVP106" s="73"/>
      <c r="KVQ106" s="74"/>
      <c r="KVS106" s="75"/>
      <c r="KVV106" s="75"/>
      <c r="KVW106" s="72"/>
      <c r="KVX106" s="68"/>
      <c r="KVY106" s="1"/>
      <c r="KVZ106" s="73"/>
      <c r="KWA106" s="74"/>
      <c r="KWC106" s="75"/>
      <c r="KWF106" s="75"/>
      <c r="KWG106" s="72"/>
      <c r="KWH106" s="68"/>
      <c r="KWI106" s="1"/>
      <c r="KWJ106" s="73"/>
      <c r="KWK106" s="74"/>
      <c r="KWM106" s="75"/>
      <c r="KWP106" s="75"/>
      <c r="KWQ106" s="72"/>
      <c r="KWR106" s="68"/>
      <c r="KWS106" s="1"/>
      <c r="KWT106" s="73"/>
      <c r="KWU106" s="74"/>
      <c r="KWW106" s="75"/>
      <c r="KWZ106" s="75"/>
      <c r="KXA106" s="72"/>
      <c r="KXB106" s="68"/>
      <c r="KXC106" s="1"/>
      <c r="KXD106" s="73"/>
      <c r="KXE106" s="74"/>
      <c r="KXG106" s="75"/>
      <c r="KXJ106" s="75"/>
      <c r="KXK106" s="72"/>
      <c r="KXL106" s="68"/>
      <c r="KXM106" s="1"/>
      <c r="KXN106" s="73"/>
      <c r="KXO106" s="74"/>
      <c r="KXQ106" s="75"/>
      <c r="KXT106" s="75"/>
      <c r="KXU106" s="72"/>
      <c r="KXV106" s="68"/>
      <c r="KXW106" s="1"/>
      <c r="KXX106" s="73"/>
      <c r="KXY106" s="74"/>
      <c r="KYA106" s="75"/>
      <c r="KYD106" s="75"/>
      <c r="KYE106" s="72"/>
      <c r="KYF106" s="68"/>
      <c r="KYG106" s="1"/>
      <c r="KYH106" s="73"/>
      <c r="KYI106" s="74"/>
      <c r="KYK106" s="75"/>
      <c r="KYN106" s="75"/>
      <c r="KYO106" s="72"/>
      <c r="KYP106" s="68"/>
      <c r="KYQ106" s="1"/>
      <c r="KYR106" s="73"/>
      <c r="KYS106" s="74"/>
      <c r="KYU106" s="75"/>
      <c r="KYX106" s="75"/>
      <c r="KYY106" s="72"/>
      <c r="KYZ106" s="68"/>
      <c r="KZA106" s="1"/>
      <c r="KZB106" s="73"/>
      <c r="KZC106" s="74"/>
      <c r="KZE106" s="75"/>
      <c r="KZH106" s="75"/>
      <c r="KZI106" s="72"/>
      <c r="KZJ106" s="68"/>
      <c r="KZK106" s="1"/>
      <c r="KZL106" s="73"/>
      <c r="KZM106" s="74"/>
      <c r="KZO106" s="75"/>
      <c r="KZR106" s="75"/>
      <c r="KZS106" s="72"/>
      <c r="KZT106" s="68"/>
      <c r="KZU106" s="1"/>
      <c r="KZV106" s="73"/>
      <c r="KZW106" s="74"/>
      <c r="KZY106" s="75"/>
      <c r="LAB106" s="75"/>
      <c r="LAC106" s="72"/>
      <c r="LAD106" s="68"/>
      <c r="LAE106" s="1"/>
      <c r="LAF106" s="73"/>
      <c r="LAG106" s="74"/>
      <c r="LAI106" s="75"/>
      <c r="LAL106" s="75"/>
      <c r="LAM106" s="72"/>
      <c r="LAN106" s="68"/>
      <c r="LAO106" s="1"/>
      <c r="LAP106" s="73"/>
      <c r="LAQ106" s="74"/>
      <c r="LAS106" s="75"/>
      <c r="LAV106" s="75"/>
      <c r="LAW106" s="72"/>
      <c r="LAX106" s="68"/>
      <c r="LAY106" s="1"/>
      <c r="LAZ106" s="73"/>
      <c r="LBA106" s="74"/>
      <c r="LBC106" s="75"/>
      <c r="LBF106" s="75"/>
      <c r="LBG106" s="72"/>
      <c r="LBH106" s="68"/>
      <c r="LBI106" s="1"/>
      <c r="LBJ106" s="73"/>
      <c r="LBK106" s="74"/>
      <c r="LBM106" s="75"/>
      <c r="LBP106" s="75"/>
      <c r="LBQ106" s="72"/>
      <c r="LBR106" s="68"/>
      <c r="LBS106" s="1"/>
      <c r="LBT106" s="73"/>
      <c r="LBU106" s="74"/>
      <c r="LBW106" s="75"/>
      <c r="LBZ106" s="75"/>
      <c r="LCA106" s="72"/>
      <c r="LCB106" s="68"/>
      <c r="LCC106" s="1"/>
      <c r="LCD106" s="73"/>
      <c r="LCE106" s="74"/>
      <c r="LCG106" s="75"/>
      <c r="LCJ106" s="75"/>
      <c r="LCK106" s="72"/>
      <c r="LCL106" s="68"/>
      <c r="LCM106" s="1"/>
      <c r="LCN106" s="73"/>
      <c r="LCO106" s="74"/>
      <c r="LCQ106" s="75"/>
      <c r="LCT106" s="75"/>
      <c r="LCU106" s="72"/>
      <c r="LCV106" s="68"/>
      <c r="LCW106" s="1"/>
      <c r="LCX106" s="73"/>
      <c r="LCY106" s="74"/>
      <c r="LDA106" s="75"/>
      <c r="LDD106" s="75"/>
      <c r="LDE106" s="72"/>
      <c r="LDF106" s="68"/>
      <c r="LDG106" s="1"/>
      <c r="LDH106" s="73"/>
      <c r="LDI106" s="74"/>
      <c r="LDK106" s="75"/>
      <c r="LDN106" s="75"/>
      <c r="LDO106" s="72"/>
      <c r="LDP106" s="68"/>
      <c r="LDQ106" s="1"/>
      <c r="LDR106" s="73"/>
      <c r="LDS106" s="74"/>
      <c r="LDU106" s="75"/>
      <c r="LDX106" s="75"/>
      <c r="LDY106" s="72"/>
      <c r="LDZ106" s="68"/>
      <c r="LEA106" s="1"/>
      <c r="LEB106" s="73"/>
      <c r="LEC106" s="74"/>
      <c r="LEE106" s="75"/>
      <c r="LEH106" s="75"/>
      <c r="LEI106" s="72"/>
      <c r="LEJ106" s="68"/>
      <c r="LEK106" s="1"/>
      <c r="LEL106" s="73"/>
      <c r="LEM106" s="74"/>
      <c r="LEO106" s="75"/>
      <c r="LER106" s="75"/>
      <c r="LES106" s="72"/>
      <c r="LET106" s="68"/>
      <c r="LEU106" s="1"/>
      <c r="LEV106" s="73"/>
      <c r="LEW106" s="74"/>
      <c r="LEY106" s="75"/>
      <c r="LFB106" s="75"/>
      <c r="LFC106" s="72"/>
      <c r="LFD106" s="68"/>
      <c r="LFE106" s="1"/>
      <c r="LFF106" s="73"/>
      <c r="LFG106" s="74"/>
      <c r="LFI106" s="75"/>
      <c r="LFL106" s="75"/>
      <c r="LFM106" s="72"/>
      <c r="LFN106" s="68"/>
      <c r="LFO106" s="1"/>
      <c r="LFP106" s="73"/>
      <c r="LFQ106" s="74"/>
      <c r="LFS106" s="75"/>
      <c r="LFV106" s="75"/>
      <c r="LFW106" s="72"/>
      <c r="LFX106" s="68"/>
      <c r="LFY106" s="1"/>
      <c r="LFZ106" s="73"/>
      <c r="LGA106" s="74"/>
      <c r="LGC106" s="75"/>
      <c r="LGF106" s="75"/>
      <c r="LGG106" s="72"/>
      <c r="LGH106" s="68"/>
      <c r="LGI106" s="1"/>
      <c r="LGJ106" s="73"/>
      <c r="LGK106" s="74"/>
      <c r="LGM106" s="75"/>
      <c r="LGP106" s="75"/>
      <c r="LGQ106" s="72"/>
      <c r="LGR106" s="68"/>
      <c r="LGS106" s="1"/>
      <c r="LGT106" s="73"/>
      <c r="LGU106" s="74"/>
      <c r="LGW106" s="75"/>
      <c r="LGZ106" s="75"/>
      <c r="LHA106" s="72"/>
      <c r="LHB106" s="68"/>
      <c r="LHC106" s="1"/>
      <c r="LHD106" s="73"/>
      <c r="LHE106" s="74"/>
      <c r="LHG106" s="75"/>
      <c r="LHJ106" s="75"/>
      <c r="LHK106" s="72"/>
      <c r="LHL106" s="68"/>
      <c r="LHM106" s="1"/>
      <c r="LHN106" s="73"/>
      <c r="LHO106" s="74"/>
      <c r="LHQ106" s="75"/>
      <c r="LHT106" s="75"/>
      <c r="LHU106" s="72"/>
      <c r="LHV106" s="68"/>
      <c r="LHW106" s="1"/>
      <c r="LHX106" s="73"/>
      <c r="LHY106" s="74"/>
      <c r="LIA106" s="75"/>
      <c r="LID106" s="75"/>
      <c r="LIE106" s="72"/>
      <c r="LIF106" s="68"/>
      <c r="LIG106" s="1"/>
      <c r="LIH106" s="73"/>
      <c r="LII106" s="74"/>
      <c r="LIK106" s="75"/>
      <c r="LIN106" s="75"/>
      <c r="LIO106" s="72"/>
      <c r="LIP106" s="68"/>
      <c r="LIQ106" s="1"/>
      <c r="LIR106" s="73"/>
      <c r="LIS106" s="74"/>
      <c r="LIU106" s="75"/>
      <c r="LIX106" s="75"/>
      <c r="LIY106" s="72"/>
      <c r="LIZ106" s="68"/>
      <c r="LJA106" s="1"/>
      <c r="LJB106" s="73"/>
      <c r="LJC106" s="74"/>
      <c r="LJE106" s="75"/>
      <c r="LJH106" s="75"/>
      <c r="LJI106" s="72"/>
      <c r="LJJ106" s="68"/>
      <c r="LJK106" s="1"/>
      <c r="LJL106" s="73"/>
      <c r="LJM106" s="74"/>
      <c r="LJO106" s="75"/>
      <c r="LJR106" s="75"/>
      <c r="LJS106" s="72"/>
      <c r="LJT106" s="68"/>
      <c r="LJU106" s="1"/>
      <c r="LJV106" s="73"/>
      <c r="LJW106" s="74"/>
      <c r="LJY106" s="75"/>
      <c r="LKB106" s="75"/>
      <c r="LKC106" s="72"/>
      <c r="LKD106" s="68"/>
      <c r="LKE106" s="1"/>
      <c r="LKF106" s="73"/>
      <c r="LKG106" s="74"/>
      <c r="LKI106" s="75"/>
      <c r="LKL106" s="75"/>
      <c r="LKM106" s="72"/>
      <c r="LKN106" s="68"/>
      <c r="LKO106" s="1"/>
      <c r="LKP106" s="73"/>
      <c r="LKQ106" s="74"/>
      <c r="LKS106" s="75"/>
      <c r="LKV106" s="75"/>
      <c r="LKW106" s="72"/>
      <c r="LKX106" s="68"/>
      <c r="LKY106" s="1"/>
      <c r="LKZ106" s="73"/>
      <c r="LLA106" s="74"/>
      <c r="LLC106" s="75"/>
      <c r="LLF106" s="75"/>
      <c r="LLG106" s="72"/>
      <c r="LLH106" s="68"/>
      <c r="LLI106" s="1"/>
      <c r="LLJ106" s="73"/>
      <c r="LLK106" s="74"/>
      <c r="LLM106" s="75"/>
      <c r="LLP106" s="75"/>
      <c r="LLQ106" s="72"/>
      <c r="LLR106" s="68"/>
      <c r="LLS106" s="1"/>
      <c r="LLT106" s="73"/>
      <c r="LLU106" s="74"/>
      <c r="LLW106" s="75"/>
      <c r="LLZ106" s="75"/>
      <c r="LMA106" s="72"/>
      <c r="LMB106" s="68"/>
      <c r="LMC106" s="1"/>
      <c r="LMD106" s="73"/>
      <c r="LME106" s="74"/>
      <c r="LMG106" s="75"/>
      <c r="LMJ106" s="75"/>
      <c r="LMK106" s="72"/>
      <c r="LML106" s="68"/>
      <c r="LMM106" s="1"/>
      <c r="LMN106" s="73"/>
      <c r="LMO106" s="74"/>
      <c r="LMQ106" s="75"/>
      <c r="LMT106" s="75"/>
      <c r="LMU106" s="72"/>
      <c r="LMV106" s="68"/>
      <c r="LMW106" s="1"/>
      <c r="LMX106" s="73"/>
      <c r="LMY106" s="74"/>
      <c r="LNA106" s="75"/>
      <c r="LND106" s="75"/>
      <c r="LNE106" s="72"/>
      <c r="LNF106" s="68"/>
      <c r="LNG106" s="1"/>
      <c r="LNH106" s="73"/>
      <c r="LNI106" s="74"/>
      <c r="LNK106" s="75"/>
      <c r="LNN106" s="75"/>
      <c r="LNO106" s="72"/>
      <c r="LNP106" s="68"/>
      <c r="LNQ106" s="1"/>
      <c r="LNR106" s="73"/>
      <c r="LNS106" s="74"/>
      <c r="LNU106" s="75"/>
      <c r="LNX106" s="75"/>
      <c r="LNY106" s="72"/>
      <c r="LNZ106" s="68"/>
      <c r="LOA106" s="1"/>
      <c r="LOB106" s="73"/>
      <c r="LOC106" s="74"/>
      <c r="LOE106" s="75"/>
      <c r="LOH106" s="75"/>
      <c r="LOI106" s="72"/>
      <c r="LOJ106" s="68"/>
      <c r="LOK106" s="1"/>
      <c r="LOL106" s="73"/>
      <c r="LOM106" s="74"/>
      <c r="LOO106" s="75"/>
      <c r="LOR106" s="75"/>
      <c r="LOS106" s="72"/>
      <c r="LOT106" s="68"/>
      <c r="LOU106" s="1"/>
      <c r="LOV106" s="73"/>
      <c r="LOW106" s="74"/>
      <c r="LOY106" s="75"/>
      <c r="LPB106" s="75"/>
      <c r="LPC106" s="72"/>
      <c r="LPD106" s="68"/>
      <c r="LPE106" s="1"/>
      <c r="LPF106" s="73"/>
      <c r="LPG106" s="74"/>
      <c r="LPI106" s="75"/>
      <c r="LPL106" s="75"/>
      <c r="LPM106" s="72"/>
      <c r="LPN106" s="68"/>
      <c r="LPO106" s="1"/>
      <c r="LPP106" s="73"/>
      <c r="LPQ106" s="74"/>
      <c r="LPS106" s="75"/>
      <c r="LPV106" s="75"/>
      <c r="LPW106" s="72"/>
      <c r="LPX106" s="68"/>
      <c r="LPY106" s="1"/>
      <c r="LPZ106" s="73"/>
      <c r="LQA106" s="74"/>
      <c r="LQC106" s="75"/>
      <c r="LQF106" s="75"/>
      <c r="LQG106" s="72"/>
      <c r="LQH106" s="68"/>
      <c r="LQI106" s="1"/>
      <c r="LQJ106" s="73"/>
      <c r="LQK106" s="74"/>
      <c r="LQM106" s="75"/>
      <c r="LQP106" s="75"/>
      <c r="LQQ106" s="72"/>
      <c r="LQR106" s="68"/>
      <c r="LQS106" s="1"/>
      <c r="LQT106" s="73"/>
      <c r="LQU106" s="74"/>
      <c r="LQW106" s="75"/>
      <c r="LQZ106" s="75"/>
      <c r="LRA106" s="72"/>
      <c r="LRB106" s="68"/>
      <c r="LRC106" s="1"/>
      <c r="LRD106" s="73"/>
      <c r="LRE106" s="74"/>
      <c r="LRG106" s="75"/>
      <c r="LRJ106" s="75"/>
      <c r="LRK106" s="72"/>
      <c r="LRL106" s="68"/>
      <c r="LRM106" s="1"/>
      <c r="LRN106" s="73"/>
      <c r="LRO106" s="74"/>
      <c r="LRQ106" s="75"/>
      <c r="LRT106" s="75"/>
      <c r="LRU106" s="72"/>
      <c r="LRV106" s="68"/>
      <c r="LRW106" s="1"/>
      <c r="LRX106" s="73"/>
      <c r="LRY106" s="74"/>
      <c r="LSA106" s="75"/>
      <c r="LSD106" s="75"/>
      <c r="LSE106" s="72"/>
      <c r="LSF106" s="68"/>
      <c r="LSG106" s="1"/>
      <c r="LSH106" s="73"/>
      <c r="LSI106" s="74"/>
      <c r="LSK106" s="75"/>
      <c r="LSN106" s="75"/>
      <c r="LSO106" s="72"/>
      <c r="LSP106" s="68"/>
      <c r="LSQ106" s="1"/>
      <c r="LSR106" s="73"/>
      <c r="LSS106" s="74"/>
      <c r="LSU106" s="75"/>
      <c r="LSX106" s="75"/>
      <c r="LSY106" s="72"/>
      <c r="LSZ106" s="68"/>
      <c r="LTA106" s="1"/>
      <c r="LTB106" s="73"/>
      <c r="LTC106" s="74"/>
      <c r="LTE106" s="75"/>
      <c r="LTH106" s="75"/>
      <c r="LTI106" s="72"/>
      <c r="LTJ106" s="68"/>
      <c r="LTK106" s="1"/>
      <c r="LTL106" s="73"/>
      <c r="LTM106" s="74"/>
      <c r="LTO106" s="75"/>
      <c r="LTR106" s="75"/>
      <c r="LTS106" s="72"/>
      <c r="LTT106" s="68"/>
      <c r="LTU106" s="1"/>
      <c r="LTV106" s="73"/>
      <c r="LTW106" s="74"/>
      <c r="LTY106" s="75"/>
      <c r="LUB106" s="75"/>
      <c r="LUC106" s="72"/>
      <c r="LUD106" s="68"/>
      <c r="LUE106" s="1"/>
      <c r="LUF106" s="73"/>
      <c r="LUG106" s="74"/>
      <c r="LUI106" s="75"/>
      <c r="LUL106" s="75"/>
      <c r="LUM106" s="72"/>
      <c r="LUN106" s="68"/>
      <c r="LUO106" s="1"/>
      <c r="LUP106" s="73"/>
      <c r="LUQ106" s="74"/>
      <c r="LUS106" s="75"/>
      <c r="LUV106" s="75"/>
      <c r="LUW106" s="72"/>
      <c r="LUX106" s="68"/>
      <c r="LUY106" s="1"/>
      <c r="LUZ106" s="73"/>
      <c r="LVA106" s="74"/>
      <c r="LVC106" s="75"/>
      <c r="LVF106" s="75"/>
      <c r="LVG106" s="72"/>
      <c r="LVH106" s="68"/>
      <c r="LVI106" s="1"/>
      <c r="LVJ106" s="73"/>
      <c r="LVK106" s="74"/>
      <c r="LVM106" s="75"/>
      <c r="LVP106" s="75"/>
      <c r="LVQ106" s="72"/>
      <c r="LVR106" s="68"/>
      <c r="LVS106" s="1"/>
      <c r="LVT106" s="73"/>
      <c r="LVU106" s="74"/>
      <c r="LVW106" s="75"/>
      <c r="LVZ106" s="75"/>
      <c r="LWA106" s="72"/>
      <c r="LWB106" s="68"/>
      <c r="LWC106" s="1"/>
      <c r="LWD106" s="73"/>
      <c r="LWE106" s="74"/>
      <c r="LWG106" s="75"/>
      <c r="LWJ106" s="75"/>
      <c r="LWK106" s="72"/>
      <c r="LWL106" s="68"/>
      <c r="LWM106" s="1"/>
      <c r="LWN106" s="73"/>
      <c r="LWO106" s="74"/>
      <c r="LWQ106" s="75"/>
      <c r="LWT106" s="75"/>
      <c r="LWU106" s="72"/>
      <c r="LWV106" s="68"/>
      <c r="LWW106" s="1"/>
      <c r="LWX106" s="73"/>
      <c r="LWY106" s="74"/>
      <c r="LXA106" s="75"/>
      <c r="LXD106" s="75"/>
      <c r="LXE106" s="72"/>
      <c r="LXF106" s="68"/>
      <c r="LXG106" s="1"/>
      <c r="LXH106" s="73"/>
      <c r="LXI106" s="74"/>
      <c r="LXK106" s="75"/>
      <c r="LXN106" s="75"/>
      <c r="LXO106" s="72"/>
      <c r="LXP106" s="68"/>
      <c r="LXQ106" s="1"/>
      <c r="LXR106" s="73"/>
      <c r="LXS106" s="74"/>
      <c r="LXU106" s="75"/>
      <c r="LXX106" s="75"/>
      <c r="LXY106" s="72"/>
      <c r="LXZ106" s="68"/>
      <c r="LYA106" s="1"/>
      <c r="LYB106" s="73"/>
      <c r="LYC106" s="74"/>
      <c r="LYE106" s="75"/>
      <c r="LYH106" s="75"/>
      <c r="LYI106" s="72"/>
      <c r="LYJ106" s="68"/>
      <c r="LYK106" s="1"/>
      <c r="LYL106" s="73"/>
      <c r="LYM106" s="74"/>
      <c r="LYO106" s="75"/>
      <c r="LYR106" s="75"/>
      <c r="LYS106" s="72"/>
      <c r="LYT106" s="68"/>
      <c r="LYU106" s="1"/>
      <c r="LYV106" s="73"/>
      <c r="LYW106" s="74"/>
      <c r="LYY106" s="75"/>
      <c r="LZB106" s="75"/>
      <c r="LZC106" s="72"/>
      <c r="LZD106" s="68"/>
      <c r="LZE106" s="1"/>
      <c r="LZF106" s="73"/>
      <c r="LZG106" s="74"/>
      <c r="LZI106" s="75"/>
      <c r="LZL106" s="75"/>
      <c r="LZM106" s="72"/>
      <c r="LZN106" s="68"/>
      <c r="LZO106" s="1"/>
      <c r="LZP106" s="73"/>
      <c r="LZQ106" s="74"/>
      <c r="LZS106" s="75"/>
      <c r="LZV106" s="75"/>
      <c r="LZW106" s="72"/>
      <c r="LZX106" s="68"/>
      <c r="LZY106" s="1"/>
      <c r="LZZ106" s="73"/>
      <c r="MAA106" s="74"/>
      <c r="MAC106" s="75"/>
      <c r="MAF106" s="75"/>
      <c r="MAG106" s="72"/>
      <c r="MAH106" s="68"/>
      <c r="MAI106" s="1"/>
      <c r="MAJ106" s="73"/>
      <c r="MAK106" s="74"/>
      <c r="MAM106" s="75"/>
      <c r="MAP106" s="75"/>
      <c r="MAQ106" s="72"/>
      <c r="MAR106" s="68"/>
      <c r="MAS106" s="1"/>
      <c r="MAT106" s="73"/>
      <c r="MAU106" s="74"/>
      <c r="MAW106" s="75"/>
      <c r="MAZ106" s="75"/>
      <c r="MBA106" s="72"/>
      <c r="MBB106" s="68"/>
      <c r="MBC106" s="1"/>
      <c r="MBD106" s="73"/>
      <c r="MBE106" s="74"/>
      <c r="MBG106" s="75"/>
      <c r="MBJ106" s="75"/>
      <c r="MBK106" s="72"/>
      <c r="MBL106" s="68"/>
      <c r="MBM106" s="1"/>
      <c r="MBN106" s="73"/>
      <c r="MBO106" s="74"/>
      <c r="MBQ106" s="75"/>
      <c r="MBT106" s="75"/>
      <c r="MBU106" s="72"/>
      <c r="MBV106" s="68"/>
      <c r="MBW106" s="1"/>
      <c r="MBX106" s="73"/>
      <c r="MBY106" s="74"/>
      <c r="MCA106" s="75"/>
      <c r="MCD106" s="75"/>
      <c r="MCE106" s="72"/>
      <c r="MCF106" s="68"/>
      <c r="MCG106" s="1"/>
      <c r="MCH106" s="73"/>
      <c r="MCI106" s="74"/>
      <c r="MCK106" s="75"/>
      <c r="MCN106" s="75"/>
      <c r="MCO106" s="72"/>
      <c r="MCP106" s="68"/>
      <c r="MCQ106" s="1"/>
      <c r="MCR106" s="73"/>
      <c r="MCS106" s="74"/>
      <c r="MCU106" s="75"/>
      <c r="MCX106" s="75"/>
      <c r="MCY106" s="72"/>
      <c r="MCZ106" s="68"/>
      <c r="MDA106" s="1"/>
      <c r="MDB106" s="73"/>
      <c r="MDC106" s="74"/>
      <c r="MDE106" s="75"/>
      <c r="MDH106" s="75"/>
      <c r="MDI106" s="72"/>
      <c r="MDJ106" s="68"/>
      <c r="MDK106" s="1"/>
      <c r="MDL106" s="73"/>
      <c r="MDM106" s="74"/>
      <c r="MDO106" s="75"/>
      <c r="MDR106" s="75"/>
      <c r="MDS106" s="72"/>
      <c r="MDT106" s="68"/>
      <c r="MDU106" s="1"/>
      <c r="MDV106" s="73"/>
      <c r="MDW106" s="74"/>
      <c r="MDY106" s="75"/>
      <c r="MEB106" s="75"/>
      <c r="MEC106" s="72"/>
      <c r="MED106" s="68"/>
      <c r="MEE106" s="1"/>
      <c r="MEF106" s="73"/>
      <c r="MEG106" s="74"/>
      <c r="MEI106" s="75"/>
      <c r="MEL106" s="75"/>
      <c r="MEM106" s="72"/>
      <c r="MEN106" s="68"/>
      <c r="MEO106" s="1"/>
      <c r="MEP106" s="73"/>
      <c r="MEQ106" s="74"/>
      <c r="MES106" s="75"/>
      <c r="MEV106" s="75"/>
      <c r="MEW106" s="72"/>
      <c r="MEX106" s="68"/>
      <c r="MEY106" s="1"/>
      <c r="MEZ106" s="73"/>
      <c r="MFA106" s="74"/>
      <c r="MFC106" s="75"/>
      <c r="MFF106" s="75"/>
      <c r="MFG106" s="72"/>
      <c r="MFH106" s="68"/>
      <c r="MFI106" s="1"/>
      <c r="MFJ106" s="73"/>
      <c r="MFK106" s="74"/>
      <c r="MFM106" s="75"/>
      <c r="MFP106" s="75"/>
      <c r="MFQ106" s="72"/>
      <c r="MFR106" s="68"/>
      <c r="MFS106" s="1"/>
      <c r="MFT106" s="73"/>
      <c r="MFU106" s="74"/>
      <c r="MFW106" s="75"/>
      <c r="MFZ106" s="75"/>
      <c r="MGA106" s="72"/>
      <c r="MGB106" s="68"/>
      <c r="MGC106" s="1"/>
      <c r="MGD106" s="73"/>
      <c r="MGE106" s="74"/>
      <c r="MGG106" s="75"/>
      <c r="MGJ106" s="75"/>
      <c r="MGK106" s="72"/>
      <c r="MGL106" s="68"/>
      <c r="MGM106" s="1"/>
      <c r="MGN106" s="73"/>
      <c r="MGO106" s="74"/>
      <c r="MGQ106" s="75"/>
      <c r="MGT106" s="75"/>
      <c r="MGU106" s="72"/>
      <c r="MGV106" s="68"/>
      <c r="MGW106" s="1"/>
      <c r="MGX106" s="73"/>
      <c r="MGY106" s="74"/>
      <c r="MHA106" s="75"/>
      <c r="MHD106" s="75"/>
      <c r="MHE106" s="72"/>
      <c r="MHF106" s="68"/>
      <c r="MHG106" s="1"/>
      <c r="MHH106" s="73"/>
      <c r="MHI106" s="74"/>
      <c r="MHK106" s="75"/>
      <c r="MHN106" s="75"/>
      <c r="MHO106" s="72"/>
      <c r="MHP106" s="68"/>
      <c r="MHQ106" s="1"/>
      <c r="MHR106" s="73"/>
      <c r="MHS106" s="74"/>
      <c r="MHU106" s="75"/>
      <c r="MHX106" s="75"/>
      <c r="MHY106" s="72"/>
      <c r="MHZ106" s="68"/>
      <c r="MIA106" s="1"/>
      <c r="MIB106" s="73"/>
      <c r="MIC106" s="74"/>
      <c r="MIE106" s="75"/>
      <c r="MIH106" s="75"/>
      <c r="MII106" s="72"/>
      <c r="MIJ106" s="68"/>
      <c r="MIK106" s="1"/>
      <c r="MIL106" s="73"/>
      <c r="MIM106" s="74"/>
      <c r="MIO106" s="75"/>
      <c r="MIR106" s="75"/>
      <c r="MIS106" s="72"/>
      <c r="MIT106" s="68"/>
      <c r="MIU106" s="1"/>
      <c r="MIV106" s="73"/>
      <c r="MIW106" s="74"/>
      <c r="MIY106" s="75"/>
      <c r="MJB106" s="75"/>
      <c r="MJC106" s="72"/>
      <c r="MJD106" s="68"/>
      <c r="MJE106" s="1"/>
      <c r="MJF106" s="73"/>
      <c r="MJG106" s="74"/>
      <c r="MJI106" s="75"/>
      <c r="MJL106" s="75"/>
      <c r="MJM106" s="72"/>
      <c r="MJN106" s="68"/>
      <c r="MJO106" s="1"/>
      <c r="MJP106" s="73"/>
      <c r="MJQ106" s="74"/>
      <c r="MJS106" s="75"/>
      <c r="MJV106" s="75"/>
      <c r="MJW106" s="72"/>
      <c r="MJX106" s="68"/>
      <c r="MJY106" s="1"/>
      <c r="MJZ106" s="73"/>
      <c r="MKA106" s="74"/>
      <c r="MKC106" s="75"/>
      <c r="MKF106" s="75"/>
      <c r="MKG106" s="72"/>
      <c r="MKH106" s="68"/>
      <c r="MKI106" s="1"/>
      <c r="MKJ106" s="73"/>
      <c r="MKK106" s="74"/>
      <c r="MKM106" s="75"/>
      <c r="MKP106" s="75"/>
      <c r="MKQ106" s="72"/>
      <c r="MKR106" s="68"/>
      <c r="MKS106" s="1"/>
      <c r="MKT106" s="73"/>
      <c r="MKU106" s="74"/>
      <c r="MKW106" s="75"/>
      <c r="MKZ106" s="75"/>
      <c r="MLA106" s="72"/>
      <c r="MLB106" s="68"/>
      <c r="MLC106" s="1"/>
      <c r="MLD106" s="73"/>
      <c r="MLE106" s="74"/>
      <c r="MLG106" s="75"/>
      <c r="MLJ106" s="75"/>
      <c r="MLK106" s="72"/>
      <c r="MLL106" s="68"/>
      <c r="MLM106" s="1"/>
      <c r="MLN106" s="73"/>
      <c r="MLO106" s="74"/>
      <c r="MLQ106" s="75"/>
      <c r="MLT106" s="75"/>
      <c r="MLU106" s="72"/>
      <c r="MLV106" s="68"/>
      <c r="MLW106" s="1"/>
      <c r="MLX106" s="73"/>
      <c r="MLY106" s="74"/>
      <c r="MMA106" s="75"/>
      <c r="MMD106" s="75"/>
      <c r="MME106" s="72"/>
      <c r="MMF106" s="68"/>
      <c r="MMG106" s="1"/>
      <c r="MMH106" s="73"/>
      <c r="MMI106" s="74"/>
      <c r="MMK106" s="75"/>
      <c r="MMN106" s="75"/>
      <c r="MMO106" s="72"/>
      <c r="MMP106" s="68"/>
      <c r="MMQ106" s="1"/>
      <c r="MMR106" s="73"/>
      <c r="MMS106" s="74"/>
      <c r="MMU106" s="75"/>
      <c r="MMX106" s="75"/>
      <c r="MMY106" s="72"/>
      <c r="MMZ106" s="68"/>
      <c r="MNA106" s="1"/>
      <c r="MNB106" s="73"/>
      <c r="MNC106" s="74"/>
      <c r="MNE106" s="75"/>
      <c r="MNH106" s="75"/>
      <c r="MNI106" s="72"/>
      <c r="MNJ106" s="68"/>
      <c r="MNK106" s="1"/>
      <c r="MNL106" s="73"/>
      <c r="MNM106" s="74"/>
      <c r="MNO106" s="75"/>
      <c r="MNR106" s="75"/>
      <c r="MNS106" s="72"/>
      <c r="MNT106" s="68"/>
      <c r="MNU106" s="1"/>
      <c r="MNV106" s="73"/>
      <c r="MNW106" s="74"/>
      <c r="MNY106" s="75"/>
      <c r="MOB106" s="75"/>
      <c r="MOC106" s="72"/>
      <c r="MOD106" s="68"/>
      <c r="MOE106" s="1"/>
      <c r="MOF106" s="73"/>
      <c r="MOG106" s="74"/>
      <c r="MOI106" s="75"/>
      <c r="MOL106" s="75"/>
      <c r="MOM106" s="72"/>
      <c r="MON106" s="68"/>
      <c r="MOO106" s="1"/>
      <c r="MOP106" s="73"/>
      <c r="MOQ106" s="74"/>
      <c r="MOS106" s="75"/>
      <c r="MOV106" s="75"/>
      <c r="MOW106" s="72"/>
      <c r="MOX106" s="68"/>
      <c r="MOY106" s="1"/>
      <c r="MOZ106" s="73"/>
      <c r="MPA106" s="74"/>
      <c r="MPC106" s="75"/>
      <c r="MPF106" s="75"/>
      <c r="MPG106" s="72"/>
      <c r="MPH106" s="68"/>
      <c r="MPI106" s="1"/>
      <c r="MPJ106" s="73"/>
      <c r="MPK106" s="74"/>
      <c r="MPM106" s="75"/>
      <c r="MPP106" s="75"/>
      <c r="MPQ106" s="72"/>
      <c r="MPR106" s="68"/>
      <c r="MPS106" s="1"/>
      <c r="MPT106" s="73"/>
      <c r="MPU106" s="74"/>
      <c r="MPW106" s="75"/>
      <c r="MPZ106" s="75"/>
      <c r="MQA106" s="72"/>
      <c r="MQB106" s="68"/>
      <c r="MQC106" s="1"/>
      <c r="MQD106" s="73"/>
      <c r="MQE106" s="74"/>
      <c r="MQG106" s="75"/>
      <c r="MQJ106" s="75"/>
      <c r="MQK106" s="72"/>
      <c r="MQL106" s="68"/>
      <c r="MQM106" s="1"/>
      <c r="MQN106" s="73"/>
      <c r="MQO106" s="74"/>
      <c r="MQQ106" s="75"/>
      <c r="MQT106" s="75"/>
      <c r="MQU106" s="72"/>
      <c r="MQV106" s="68"/>
      <c r="MQW106" s="1"/>
      <c r="MQX106" s="73"/>
      <c r="MQY106" s="74"/>
      <c r="MRA106" s="75"/>
      <c r="MRD106" s="75"/>
      <c r="MRE106" s="72"/>
      <c r="MRF106" s="68"/>
      <c r="MRG106" s="1"/>
      <c r="MRH106" s="73"/>
      <c r="MRI106" s="74"/>
      <c r="MRK106" s="75"/>
      <c r="MRN106" s="75"/>
      <c r="MRO106" s="72"/>
      <c r="MRP106" s="68"/>
      <c r="MRQ106" s="1"/>
      <c r="MRR106" s="73"/>
      <c r="MRS106" s="74"/>
      <c r="MRU106" s="75"/>
      <c r="MRX106" s="75"/>
      <c r="MRY106" s="72"/>
      <c r="MRZ106" s="68"/>
      <c r="MSA106" s="1"/>
      <c r="MSB106" s="73"/>
      <c r="MSC106" s="74"/>
      <c r="MSE106" s="75"/>
      <c r="MSH106" s="75"/>
      <c r="MSI106" s="72"/>
      <c r="MSJ106" s="68"/>
      <c r="MSK106" s="1"/>
      <c r="MSL106" s="73"/>
      <c r="MSM106" s="74"/>
      <c r="MSO106" s="75"/>
      <c r="MSR106" s="75"/>
      <c r="MSS106" s="72"/>
      <c r="MST106" s="68"/>
      <c r="MSU106" s="1"/>
      <c r="MSV106" s="73"/>
      <c r="MSW106" s="74"/>
      <c r="MSY106" s="75"/>
      <c r="MTB106" s="75"/>
      <c r="MTC106" s="72"/>
      <c r="MTD106" s="68"/>
      <c r="MTE106" s="1"/>
      <c r="MTF106" s="73"/>
      <c r="MTG106" s="74"/>
      <c r="MTI106" s="75"/>
      <c r="MTL106" s="75"/>
      <c r="MTM106" s="72"/>
      <c r="MTN106" s="68"/>
      <c r="MTO106" s="1"/>
      <c r="MTP106" s="73"/>
      <c r="MTQ106" s="74"/>
      <c r="MTS106" s="75"/>
      <c r="MTV106" s="75"/>
      <c r="MTW106" s="72"/>
      <c r="MTX106" s="68"/>
      <c r="MTY106" s="1"/>
      <c r="MTZ106" s="73"/>
      <c r="MUA106" s="74"/>
      <c r="MUC106" s="75"/>
      <c r="MUF106" s="75"/>
      <c r="MUG106" s="72"/>
      <c r="MUH106" s="68"/>
      <c r="MUI106" s="1"/>
      <c r="MUJ106" s="73"/>
      <c r="MUK106" s="74"/>
      <c r="MUM106" s="75"/>
      <c r="MUP106" s="75"/>
      <c r="MUQ106" s="72"/>
      <c r="MUR106" s="68"/>
      <c r="MUS106" s="1"/>
      <c r="MUT106" s="73"/>
      <c r="MUU106" s="74"/>
      <c r="MUW106" s="75"/>
      <c r="MUZ106" s="75"/>
      <c r="MVA106" s="72"/>
      <c r="MVB106" s="68"/>
      <c r="MVC106" s="1"/>
      <c r="MVD106" s="73"/>
      <c r="MVE106" s="74"/>
      <c r="MVG106" s="75"/>
      <c r="MVJ106" s="75"/>
      <c r="MVK106" s="72"/>
      <c r="MVL106" s="68"/>
      <c r="MVM106" s="1"/>
      <c r="MVN106" s="73"/>
      <c r="MVO106" s="74"/>
      <c r="MVQ106" s="75"/>
      <c r="MVT106" s="75"/>
      <c r="MVU106" s="72"/>
      <c r="MVV106" s="68"/>
      <c r="MVW106" s="1"/>
      <c r="MVX106" s="73"/>
      <c r="MVY106" s="74"/>
      <c r="MWA106" s="75"/>
      <c r="MWD106" s="75"/>
      <c r="MWE106" s="72"/>
      <c r="MWF106" s="68"/>
      <c r="MWG106" s="1"/>
      <c r="MWH106" s="73"/>
      <c r="MWI106" s="74"/>
      <c r="MWK106" s="75"/>
      <c r="MWN106" s="75"/>
      <c r="MWO106" s="72"/>
      <c r="MWP106" s="68"/>
      <c r="MWQ106" s="1"/>
      <c r="MWR106" s="73"/>
      <c r="MWS106" s="74"/>
      <c r="MWU106" s="75"/>
      <c r="MWX106" s="75"/>
      <c r="MWY106" s="72"/>
      <c r="MWZ106" s="68"/>
      <c r="MXA106" s="1"/>
      <c r="MXB106" s="73"/>
      <c r="MXC106" s="74"/>
      <c r="MXE106" s="75"/>
      <c r="MXH106" s="75"/>
      <c r="MXI106" s="72"/>
      <c r="MXJ106" s="68"/>
      <c r="MXK106" s="1"/>
      <c r="MXL106" s="73"/>
      <c r="MXM106" s="74"/>
      <c r="MXO106" s="75"/>
      <c r="MXR106" s="75"/>
      <c r="MXS106" s="72"/>
      <c r="MXT106" s="68"/>
      <c r="MXU106" s="1"/>
      <c r="MXV106" s="73"/>
      <c r="MXW106" s="74"/>
      <c r="MXY106" s="75"/>
      <c r="MYB106" s="75"/>
      <c r="MYC106" s="72"/>
      <c r="MYD106" s="68"/>
      <c r="MYE106" s="1"/>
      <c r="MYF106" s="73"/>
      <c r="MYG106" s="74"/>
      <c r="MYI106" s="75"/>
      <c r="MYL106" s="75"/>
      <c r="MYM106" s="72"/>
      <c r="MYN106" s="68"/>
      <c r="MYO106" s="1"/>
      <c r="MYP106" s="73"/>
      <c r="MYQ106" s="74"/>
      <c r="MYS106" s="75"/>
      <c r="MYV106" s="75"/>
      <c r="MYW106" s="72"/>
      <c r="MYX106" s="68"/>
      <c r="MYY106" s="1"/>
      <c r="MYZ106" s="73"/>
      <c r="MZA106" s="74"/>
      <c r="MZC106" s="75"/>
      <c r="MZF106" s="75"/>
      <c r="MZG106" s="72"/>
      <c r="MZH106" s="68"/>
      <c r="MZI106" s="1"/>
      <c r="MZJ106" s="73"/>
      <c r="MZK106" s="74"/>
      <c r="MZM106" s="75"/>
      <c r="MZP106" s="75"/>
      <c r="MZQ106" s="72"/>
      <c r="MZR106" s="68"/>
      <c r="MZS106" s="1"/>
      <c r="MZT106" s="73"/>
      <c r="MZU106" s="74"/>
      <c r="MZW106" s="75"/>
      <c r="MZZ106" s="75"/>
      <c r="NAA106" s="72"/>
      <c r="NAB106" s="68"/>
      <c r="NAC106" s="1"/>
      <c r="NAD106" s="73"/>
      <c r="NAE106" s="74"/>
      <c r="NAG106" s="75"/>
      <c r="NAJ106" s="75"/>
      <c r="NAK106" s="72"/>
      <c r="NAL106" s="68"/>
      <c r="NAM106" s="1"/>
      <c r="NAN106" s="73"/>
      <c r="NAO106" s="74"/>
      <c r="NAQ106" s="75"/>
      <c r="NAT106" s="75"/>
      <c r="NAU106" s="72"/>
      <c r="NAV106" s="68"/>
      <c r="NAW106" s="1"/>
      <c r="NAX106" s="73"/>
      <c r="NAY106" s="74"/>
      <c r="NBA106" s="75"/>
      <c r="NBD106" s="75"/>
      <c r="NBE106" s="72"/>
      <c r="NBF106" s="68"/>
      <c r="NBG106" s="1"/>
      <c r="NBH106" s="73"/>
      <c r="NBI106" s="74"/>
      <c r="NBK106" s="75"/>
      <c r="NBN106" s="75"/>
      <c r="NBO106" s="72"/>
      <c r="NBP106" s="68"/>
      <c r="NBQ106" s="1"/>
      <c r="NBR106" s="73"/>
      <c r="NBS106" s="74"/>
      <c r="NBU106" s="75"/>
      <c r="NBX106" s="75"/>
      <c r="NBY106" s="72"/>
      <c r="NBZ106" s="68"/>
      <c r="NCA106" s="1"/>
      <c r="NCB106" s="73"/>
      <c r="NCC106" s="74"/>
      <c r="NCE106" s="75"/>
      <c r="NCH106" s="75"/>
      <c r="NCI106" s="72"/>
      <c r="NCJ106" s="68"/>
      <c r="NCK106" s="1"/>
      <c r="NCL106" s="73"/>
      <c r="NCM106" s="74"/>
      <c r="NCO106" s="75"/>
      <c r="NCR106" s="75"/>
      <c r="NCS106" s="72"/>
      <c r="NCT106" s="68"/>
      <c r="NCU106" s="1"/>
      <c r="NCV106" s="73"/>
      <c r="NCW106" s="74"/>
      <c r="NCY106" s="75"/>
      <c r="NDB106" s="75"/>
      <c r="NDC106" s="72"/>
      <c r="NDD106" s="68"/>
      <c r="NDE106" s="1"/>
      <c r="NDF106" s="73"/>
      <c r="NDG106" s="74"/>
      <c r="NDI106" s="75"/>
      <c r="NDL106" s="75"/>
      <c r="NDM106" s="72"/>
      <c r="NDN106" s="68"/>
      <c r="NDO106" s="1"/>
      <c r="NDP106" s="73"/>
      <c r="NDQ106" s="74"/>
      <c r="NDS106" s="75"/>
      <c r="NDV106" s="75"/>
      <c r="NDW106" s="72"/>
      <c r="NDX106" s="68"/>
      <c r="NDY106" s="1"/>
      <c r="NDZ106" s="73"/>
      <c r="NEA106" s="74"/>
      <c r="NEC106" s="75"/>
      <c r="NEF106" s="75"/>
      <c r="NEG106" s="72"/>
      <c r="NEH106" s="68"/>
      <c r="NEI106" s="1"/>
      <c r="NEJ106" s="73"/>
      <c r="NEK106" s="74"/>
      <c r="NEM106" s="75"/>
      <c r="NEP106" s="75"/>
      <c r="NEQ106" s="72"/>
      <c r="NER106" s="68"/>
      <c r="NES106" s="1"/>
      <c r="NET106" s="73"/>
      <c r="NEU106" s="74"/>
      <c r="NEW106" s="75"/>
      <c r="NEZ106" s="75"/>
      <c r="NFA106" s="72"/>
      <c r="NFB106" s="68"/>
      <c r="NFC106" s="1"/>
      <c r="NFD106" s="73"/>
      <c r="NFE106" s="74"/>
      <c r="NFG106" s="75"/>
      <c r="NFJ106" s="75"/>
      <c r="NFK106" s="72"/>
      <c r="NFL106" s="68"/>
      <c r="NFM106" s="1"/>
      <c r="NFN106" s="73"/>
      <c r="NFO106" s="74"/>
      <c r="NFQ106" s="75"/>
      <c r="NFT106" s="75"/>
      <c r="NFU106" s="72"/>
      <c r="NFV106" s="68"/>
      <c r="NFW106" s="1"/>
      <c r="NFX106" s="73"/>
      <c r="NFY106" s="74"/>
      <c r="NGA106" s="75"/>
      <c r="NGD106" s="75"/>
      <c r="NGE106" s="72"/>
      <c r="NGF106" s="68"/>
      <c r="NGG106" s="1"/>
      <c r="NGH106" s="73"/>
      <c r="NGI106" s="74"/>
      <c r="NGK106" s="75"/>
      <c r="NGN106" s="75"/>
      <c r="NGO106" s="72"/>
      <c r="NGP106" s="68"/>
      <c r="NGQ106" s="1"/>
      <c r="NGR106" s="73"/>
      <c r="NGS106" s="74"/>
      <c r="NGU106" s="75"/>
      <c r="NGX106" s="75"/>
      <c r="NGY106" s="72"/>
      <c r="NGZ106" s="68"/>
      <c r="NHA106" s="1"/>
      <c r="NHB106" s="73"/>
      <c r="NHC106" s="74"/>
      <c r="NHE106" s="75"/>
      <c r="NHH106" s="75"/>
      <c r="NHI106" s="72"/>
      <c r="NHJ106" s="68"/>
      <c r="NHK106" s="1"/>
      <c r="NHL106" s="73"/>
      <c r="NHM106" s="74"/>
      <c r="NHO106" s="75"/>
      <c r="NHR106" s="75"/>
      <c r="NHS106" s="72"/>
      <c r="NHT106" s="68"/>
      <c r="NHU106" s="1"/>
      <c r="NHV106" s="73"/>
      <c r="NHW106" s="74"/>
      <c r="NHY106" s="75"/>
      <c r="NIB106" s="75"/>
      <c r="NIC106" s="72"/>
      <c r="NID106" s="68"/>
      <c r="NIE106" s="1"/>
      <c r="NIF106" s="73"/>
      <c r="NIG106" s="74"/>
      <c r="NII106" s="75"/>
      <c r="NIL106" s="75"/>
      <c r="NIM106" s="72"/>
      <c r="NIN106" s="68"/>
      <c r="NIO106" s="1"/>
      <c r="NIP106" s="73"/>
      <c r="NIQ106" s="74"/>
      <c r="NIS106" s="75"/>
      <c r="NIV106" s="75"/>
      <c r="NIW106" s="72"/>
      <c r="NIX106" s="68"/>
      <c r="NIY106" s="1"/>
      <c r="NIZ106" s="73"/>
      <c r="NJA106" s="74"/>
      <c r="NJC106" s="75"/>
      <c r="NJF106" s="75"/>
      <c r="NJG106" s="72"/>
      <c r="NJH106" s="68"/>
      <c r="NJI106" s="1"/>
      <c r="NJJ106" s="73"/>
      <c r="NJK106" s="74"/>
      <c r="NJM106" s="75"/>
      <c r="NJP106" s="75"/>
      <c r="NJQ106" s="72"/>
      <c r="NJR106" s="68"/>
      <c r="NJS106" s="1"/>
      <c r="NJT106" s="73"/>
      <c r="NJU106" s="74"/>
      <c r="NJW106" s="75"/>
      <c r="NJZ106" s="75"/>
      <c r="NKA106" s="72"/>
      <c r="NKB106" s="68"/>
      <c r="NKC106" s="1"/>
      <c r="NKD106" s="73"/>
      <c r="NKE106" s="74"/>
      <c r="NKG106" s="75"/>
      <c r="NKJ106" s="75"/>
      <c r="NKK106" s="72"/>
      <c r="NKL106" s="68"/>
      <c r="NKM106" s="1"/>
      <c r="NKN106" s="73"/>
      <c r="NKO106" s="74"/>
      <c r="NKQ106" s="75"/>
      <c r="NKT106" s="75"/>
      <c r="NKU106" s="72"/>
      <c r="NKV106" s="68"/>
      <c r="NKW106" s="1"/>
      <c r="NKX106" s="73"/>
      <c r="NKY106" s="74"/>
      <c r="NLA106" s="75"/>
      <c r="NLD106" s="75"/>
      <c r="NLE106" s="72"/>
      <c r="NLF106" s="68"/>
      <c r="NLG106" s="1"/>
      <c r="NLH106" s="73"/>
      <c r="NLI106" s="74"/>
      <c r="NLK106" s="75"/>
      <c r="NLN106" s="75"/>
      <c r="NLO106" s="72"/>
      <c r="NLP106" s="68"/>
      <c r="NLQ106" s="1"/>
      <c r="NLR106" s="73"/>
      <c r="NLS106" s="74"/>
      <c r="NLU106" s="75"/>
      <c r="NLX106" s="75"/>
      <c r="NLY106" s="72"/>
      <c r="NLZ106" s="68"/>
      <c r="NMA106" s="1"/>
      <c r="NMB106" s="73"/>
      <c r="NMC106" s="74"/>
      <c r="NME106" s="75"/>
      <c r="NMH106" s="75"/>
      <c r="NMI106" s="72"/>
      <c r="NMJ106" s="68"/>
      <c r="NMK106" s="1"/>
      <c r="NML106" s="73"/>
      <c r="NMM106" s="74"/>
      <c r="NMO106" s="75"/>
      <c r="NMR106" s="75"/>
      <c r="NMS106" s="72"/>
      <c r="NMT106" s="68"/>
      <c r="NMU106" s="1"/>
      <c r="NMV106" s="73"/>
      <c r="NMW106" s="74"/>
      <c r="NMY106" s="75"/>
      <c r="NNB106" s="75"/>
      <c r="NNC106" s="72"/>
      <c r="NND106" s="68"/>
      <c r="NNE106" s="1"/>
      <c r="NNF106" s="73"/>
      <c r="NNG106" s="74"/>
      <c r="NNI106" s="75"/>
      <c r="NNL106" s="75"/>
      <c r="NNM106" s="72"/>
      <c r="NNN106" s="68"/>
      <c r="NNO106" s="1"/>
      <c r="NNP106" s="73"/>
      <c r="NNQ106" s="74"/>
      <c r="NNS106" s="75"/>
      <c r="NNV106" s="75"/>
      <c r="NNW106" s="72"/>
      <c r="NNX106" s="68"/>
      <c r="NNY106" s="1"/>
      <c r="NNZ106" s="73"/>
      <c r="NOA106" s="74"/>
      <c r="NOC106" s="75"/>
      <c r="NOF106" s="75"/>
      <c r="NOG106" s="72"/>
      <c r="NOH106" s="68"/>
      <c r="NOI106" s="1"/>
      <c r="NOJ106" s="73"/>
      <c r="NOK106" s="74"/>
      <c r="NOM106" s="75"/>
      <c r="NOP106" s="75"/>
      <c r="NOQ106" s="72"/>
      <c r="NOR106" s="68"/>
      <c r="NOS106" s="1"/>
      <c r="NOT106" s="73"/>
      <c r="NOU106" s="74"/>
      <c r="NOW106" s="75"/>
      <c r="NOZ106" s="75"/>
      <c r="NPA106" s="72"/>
      <c r="NPB106" s="68"/>
      <c r="NPC106" s="1"/>
      <c r="NPD106" s="73"/>
      <c r="NPE106" s="74"/>
      <c r="NPG106" s="75"/>
      <c r="NPJ106" s="75"/>
      <c r="NPK106" s="72"/>
      <c r="NPL106" s="68"/>
      <c r="NPM106" s="1"/>
      <c r="NPN106" s="73"/>
      <c r="NPO106" s="74"/>
      <c r="NPQ106" s="75"/>
      <c r="NPT106" s="75"/>
      <c r="NPU106" s="72"/>
      <c r="NPV106" s="68"/>
      <c r="NPW106" s="1"/>
      <c r="NPX106" s="73"/>
      <c r="NPY106" s="74"/>
      <c r="NQA106" s="75"/>
      <c r="NQD106" s="75"/>
      <c r="NQE106" s="72"/>
      <c r="NQF106" s="68"/>
      <c r="NQG106" s="1"/>
      <c r="NQH106" s="73"/>
      <c r="NQI106" s="74"/>
      <c r="NQK106" s="75"/>
      <c r="NQN106" s="75"/>
      <c r="NQO106" s="72"/>
      <c r="NQP106" s="68"/>
      <c r="NQQ106" s="1"/>
      <c r="NQR106" s="73"/>
      <c r="NQS106" s="74"/>
      <c r="NQU106" s="75"/>
      <c r="NQX106" s="75"/>
      <c r="NQY106" s="72"/>
      <c r="NQZ106" s="68"/>
      <c r="NRA106" s="1"/>
      <c r="NRB106" s="73"/>
      <c r="NRC106" s="74"/>
      <c r="NRE106" s="75"/>
      <c r="NRH106" s="75"/>
      <c r="NRI106" s="72"/>
      <c r="NRJ106" s="68"/>
      <c r="NRK106" s="1"/>
      <c r="NRL106" s="73"/>
      <c r="NRM106" s="74"/>
      <c r="NRO106" s="75"/>
      <c r="NRR106" s="75"/>
      <c r="NRS106" s="72"/>
      <c r="NRT106" s="68"/>
      <c r="NRU106" s="1"/>
      <c r="NRV106" s="73"/>
      <c r="NRW106" s="74"/>
      <c r="NRY106" s="75"/>
      <c r="NSB106" s="75"/>
      <c r="NSC106" s="72"/>
      <c r="NSD106" s="68"/>
      <c r="NSE106" s="1"/>
      <c r="NSF106" s="73"/>
      <c r="NSG106" s="74"/>
      <c r="NSI106" s="75"/>
      <c r="NSL106" s="75"/>
      <c r="NSM106" s="72"/>
      <c r="NSN106" s="68"/>
      <c r="NSO106" s="1"/>
      <c r="NSP106" s="73"/>
      <c r="NSQ106" s="74"/>
      <c r="NSS106" s="75"/>
      <c r="NSV106" s="75"/>
      <c r="NSW106" s="72"/>
      <c r="NSX106" s="68"/>
      <c r="NSY106" s="1"/>
      <c r="NSZ106" s="73"/>
      <c r="NTA106" s="74"/>
      <c r="NTC106" s="75"/>
      <c r="NTF106" s="75"/>
      <c r="NTG106" s="72"/>
      <c r="NTH106" s="68"/>
      <c r="NTI106" s="1"/>
      <c r="NTJ106" s="73"/>
      <c r="NTK106" s="74"/>
      <c r="NTM106" s="75"/>
      <c r="NTP106" s="75"/>
      <c r="NTQ106" s="72"/>
      <c r="NTR106" s="68"/>
      <c r="NTS106" s="1"/>
      <c r="NTT106" s="73"/>
      <c r="NTU106" s="74"/>
      <c r="NTW106" s="75"/>
      <c r="NTZ106" s="75"/>
      <c r="NUA106" s="72"/>
      <c r="NUB106" s="68"/>
      <c r="NUC106" s="1"/>
      <c r="NUD106" s="73"/>
      <c r="NUE106" s="74"/>
      <c r="NUG106" s="75"/>
      <c r="NUJ106" s="75"/>
      <c r="NUK106" s="72"/>
      <c r="NUL106" s="68"/>
      <c r="NUM106" s="1"/>
      <c r="NUN106" s="73"/>
      <c r="NUO106" s="74"/>
      <c r="NUQ106" s="75"/>
      <c r="NUT106" s="75"/>
      <c r="NUU106" s="72"/>
      <c r="NUV106" s="68"/>
      <c r="NUW106" s="1"/>
      <c r="NUX106" s="73"/>
      <c r="NUY106" s="74"/>
      <c r="NVA106" s="75"/>
      <c r="NVD106" s="75"/>
      <c r="NVE106" s="72"/>
      <c r="NVF106" s="68"/>
      <c r="NVG106" s="1"/>
      <c r="NVH106" s="73"/>
      <c r="NVI106" s="74"/>
      <c r="NVK106" s="75"/>
      <c r="NVN106" s="75"/>
      <c r="NVO106" s="72"/>
      <c r="NVP106" s="68"/>
      <c r="NVQ106" s="1"/>
      <c r="NVR106" s="73"/>
      <c r="NVS106" s="74"/>
      <c r="NVU106" s="75"/>
      <c r="NVX106" s="75"/>
      <c r="NVY106" s="72"/>
      <c r="NVZ106" s="68"/>
      <c r="NWA106" s="1"/>
      <c r="NWB106" s="73"/>
      <c r="NWC106" s="74"/>
      <c r="NWE106" s="75"/>
      <c r="NWH106" s="75"/>
      <c r="NWI106" s="72"/>
      <c r="NWJ106" s="68"/>
      <c r="NWK106" s="1"/>
      <c r="NWL106" s="73"/>
      <c r="NWM106" s="74"/>
      <c r="NWO106" s="75"/>
      <c r="NWR106" s="75"/>
      <c r="NWS106" s="72"/>
      <c r="NWT106" s="68"/>
      <c r="NWU106" s="1"/>
      <c r="NWV106" s="73"/>
      <c r="NWW106" s="74"/>
      <c r="NWY106" s="75"/>
      <c r="NXB106" s="75"/>
      <c r="NXC106" s="72"/>
      <c r="NXD106" s="68"/>
      <c r="NXE106" s="1"/>
      <c r="NXF106" s="73"/>
      <c r="NXG106" s="74"/>
      <c r="NXI106" s="75"/>
      <c r="NXL106" s="75"/>
      <c r="NXM106" s="72"/>
      <c r="NXN106" s="68"/>
      <c r="NXO106" s="1"/>
      <c r="NXP106" s="73"/>
      <c r="NXQ106" s="74"/>
      <c r="NXS106" s="75"/>
      <c r="NXV106" s="75"/>
      <c r="NXW106" s="72"/>
      <c r="NXX106" s="68"/>
      <c r="NXY106" s="1"/>
      <c r="NXZ106" s="73"/>
      <c r="NYA106" s="74"/>
      <c r="NYC106" s="75"/>
      <c r="NYF106" s="75"/>
      <c r="NYG106" s="72"/>
      <c r="NYH106" s="68"/>
      <c r="NYI106" s="1"/>
      <c r="NYJ106" s="73"/>
      <c r="NYK106" s="74"/>
      <c r="NYM106" s="75"/>
      <c r="NYP106" s="75"/>
      <c r="NYQ106" s="72"/>
      <c r="NYR106" s="68"/>
      <c r="NYS106" s="1"/>
      <c r="NYT106" s="73"/>
      <c r="NYU106" s="74"/>
      <c r="NYW106" s="75"/>
      <c r="NYZ106" s="75"/>
      <c r="NZA106" s="72"/>
      <c r="NZB106" s="68"/>
      <c r="NZC106" s="1"/>
      <c r="NZD106" s="73"/>
      <c r="NZE106" s="74"/>
      <c r="NZG106" s="75"/>
      <c r="NZJ106" s="75"/>
      <c r="NZK106" s="72"/>
      <c r="NZL106" s="68"/>
      <c r="NZM106" s="1"/>
      <c r="NZN106" s="73"/>
      <c r="NZO106" s="74"/>
      <c r="NZQ106" s="75"/>
      <c r="NZT106" s="75"/>
      <c r="NZU106" s="72"/>
      <c r="NZV106" s="68"/>
      <c r="NZW106" s="1"/>
      <c r="NZX106" s="73"/>
      <c r="NZY106" s="74"/>
      <c r="OAA106" s="75"/>
      <c r="OAD106" s="75"/>
      <c r="OAE106" s="72"/>
      <c r="OAF106" s="68"/>
      <c r="OAG106" s="1"/>
      <c r="OAH106" s="73"/>
      <c r="OAI106" s="74"/>
      <c r="OAK106" s="75"/>
      <c r="OAN106" s="75"/>
      <c r="OAO106" s="72"/>
      <c r="OAP106" s="68"/>
      <c r="OAQ106" s="1"/>
      <c r="OAR106" s="73"/>
      <c r="OAS106" s="74"/>
      <c r="OAU106" s="75"/>
      <c r="OAX106" s="75"/>
      <c r="OAY106" s="72"/>
      <c r="OAZ106" s="68"/>
      <c r="OBA106" s="1"/>
      <c r="OBB106" s="73"/>
      <c r="OBC106" s="74"/>
      <c r="OBE106" s="75"/>
      <c r="OBH106" s="75"/>
      <c r="OBI106" s="72"/>
      <c r="OBJ106" s="68"/>
      <c r="OBK106" s="1"/>
      <c r="OBL106" s="73"/>
      <c r="OBM106" s="74"/>
      <c r="OBO106" s="75"/>
      <c r="OBR106" s="75"/>
      <c r="OBS106" s="72"/>
      <c r="OBT106" s="68"/>
      <c r="OBU106" s="1"/>
      <c r="OBV106" s="73"/>
      <c r="OBW106" s="74"/>
      <c r="OBY106" s="75"/>
      <c r="OCB106" s="75"/>
      <c r="OCC106" s="72"/>
      <c r="OCD106" s="68"/>
      <c r="OCE106" s="1"/>
      <c r="OCF106" s="73"/>
      <c r="OCG106" s="74"/>
      <c r="OCI106" s="75"/>
      <c r="OCL106" s="75"/>
      <c r="OCM106" s="72"/>
      <c r="OCN106" s="68"/>
      <c r="OCO106" s="1"/>
      <c r="OCP106" s="73"/>
      <c r="OCQ106" s="74"/>
      <c r="OCS106" s="75"/>
      <c r="OCV106" s="75"/>
      <c r="OCW106" s="72"/>
      <c r="OCX106" s="68"/>
      <c r="OCY106" s="1"/>
      <c r="OCZ106" s="73"/>
      <c r="ODA106" s="74"/>
      <c r="ODC106" s="75"/>
      <c r="ODF106" s="75"/>
      <c r="ODG106" s="72"/>
      <c r="ODH106" s="68"/>
      <c r="ODI106" s="1"/>
      <c r="ODJ106" s="73"/>
      <c r="ODK106" s="74"/>
      <c r="ODM106" s="75"/>
      <c r="ODP106" s="75"/>
      <c r="ODQ106" s="72"/>
      <c r="ODR106" s="68"/>
      <c r="ODS106" s="1"/>
      <c r="ODT106" s="73"/>
      <c r="ODU106" s="74"/>
      <c r="ODW106" s="75"/>
      <c r="ODZ106" s="75"/>
      <c r="OEA106" s="72"/>
      <c r="OEB106" s="68"/>
      <c r="OEC106" s="1"/>
      <c r="OED106" s="73"/>
      <c r="OEE106" s="74"/>
      <c r="OEG106" s="75"/>
      <c r="OEJ106" s="75"/>
      <c r="OEK106" s="72"/>
      <c r="OEL106" s="68"/>
      <c r="OEM106" s="1"/>
      <c r="OEN106" s="73"/>
      <c r="OEO106" s="74"/>
      <c r="OEQ106" s="75"/>
      <c r="OET106" s="75"/>
      <c r="OEU106" s="72"/>
      <c r="OEV106" s="68"/>
      <c r="OEW106" s="1"/>
      <c r="OEX106" s="73"/>
      <c r="OEY106" s="74"/>
      <c r="OFA106" s="75"/>
      <c r="OFD106" s="75"/>
      <c r="OFE106" s="72"/>
      <c r="OFF106" s="68"/>
      <c r="OFG106" s="1"/>
      <c r="OFH106" s="73"/>
      <c r="OFI106" s="74"/>
      <c r="OFK106" s="75"/>
      <c r="OFN106" s="75"/>
      <c r="OFO106" s="72"/>
      <c r="OFP106" s="68"/>
      <c r="OFQ106" s="1"/>
      <c r="OFR106" s="73"/>
      <c r="OFS106" s="74"/>
      <c r="OFU106" s="75"/>
      <c r="OFX106" s="75"/>
      <c r="OFY106" s="72"/>
      <c r="OFZ106" s="68"/>
      <c r="OGA106" s="1"/>
      <c r="OGB106" s="73"/>
      <c r="OGC106" s="74"/>
      <c r="OGE106" s="75"/>
      <c r="OGH106" s="75"/>
      <c r="OGI106" s="72"/>
      <c r="OGJ106" s="68"/>
      <c r="OGK106" s="1"/>
      <c r="OGL106" s="73"/>
      <c r="OGM106" s="74"/>
      <c r="OGO106" s="75"/>
      <c r="OGR106" s="75"/>
      <c r="OGS106" s="72"/>
      <c r="OGT106" s="68"/>
      <c r="OGU106" s="1"/>
      <c r="OGV106" s="73"/>
      <c r="OGW106" s="74"/>
      <c r="OGY106" s="75"/>
      <c r="OHB106" s="75"/>
      <c r="OHC106" s="72"/>
      <c r="OHD106" s="68"/>
      <c r="OHE106" s="1"/>
      <c r="OHF106" s="73"/>
      <c r="OHG106" s="74"/>
      <c r="OHI106" s="75"/>
      <c r="OHL106" s="75"/>
      <c r="OHM106" s="72"/>
      <c r="OHN106" s="68"/>
      <c r="OHO106" s="1"/>
      <c r="OHP106" s="73"/>
      <c r="OHQ106" s="74"/>
      <c r="OHS106" s="75"/>
      <c r="OHV106" s="75"/>
      <c r="OHW106" s="72"/>
      <c r="OHX106" s="68"/>
      <c r="OHY106" s="1"/>
      <c r="OHZ106" s="73"/>
      <c r="OIA106" s="74"/>
      <c r="OIC106" s="75"/>
      <c r="OIF106" s="75"/>
      <c r="OIG106" s="72"/>
      <c r="OIH106" s="68"/>
      <c r="OII106" s="1"/>
      <c r="OIJ106" s="73"/>
      <c r="OIK106" s="74"/>
      <c r="OIM106" s="75"/>
      <c r="OIP106" s="75"/>
      <c r="OIQ106" s="72"/>
      <c r="OIR106" s="68"/>
      <c r="OIS106" s="1"/>
      <c r="OIT106" s="73"/>
      <c r="OIU106" s="74"/>
      <c r="OIW106" s="75"/>
      <c r="OIZ106" s="75"/>
      <c r="OJA106" s="72"/>
      <c r="OJB106" s="68"/>
      <c r="OJC106" s="1"/>
      <c r="OJD106" s="73"/>
      <c r="OJE106" s="74"/>
      <c r="OJG106" s="75"/>
      <c r="OJJ106" s="75"/>
      <c r="OJK106" s="72"/>
      <c r="OJL106" s="68"/>
      <c r="OJM106" s="1"/>
      <c r="OJN106" s="73"/>
      <c r="OJO106" s="74"/>
      <c r="OJQ106" s="75"/>
      <c r="OJT106" s="75"/>
      <c r="OJU106" s="72"/>
      <c r="OJV106" s="68"/>
      <c r="OJW106" s="1"/>
      <c r="OJX106" s="73"/>
      <c r="OJY106" s="74"/>
      <c r="OKA106" s="75"/>
      <c r="OKD106" s="75"/>
      <c r="OKE106" s="72"/>
      <c r="OKF106" s="68"/>
      <c r="OKG106" s="1"/>
      <c r="OKH106" s="73"/>
      <c r="OKI106" s="74"/>
      <c r="OKK106" s="75"/>
      <c r="OKN106" s="75"/>
      <c r="OKO106" s="72"/>
      <c r="OKP106" s="68"/>
      <c r="OKQ106" s="1"/>
      <c r="OKR106" s="73"/>
      <c r="OKS106" s="74"/>
      <c r="OKU106" s="75"/>
      <c r="OKX106" s="75"/>
      <c r="OKY106" s="72"/>
      <c r="OKZ106" s="68"/>
      <c r="OLA106" s="1"/>
      <c r="OLB106" s="73"/>
      <c r="OLC106" s="74"/>
      <c r="OLE106" s="75"/>
      <c r="OLH106" s="75"/>
      <c r="OLI106" s="72"/>
      <c r="OLJ106" s="68"/>
      <c r="OLK106" s="1"/>
      <c r="OLL106" s="73"/>
      <c r="OLM106" s="74"/>
      <c r="OLO106" s="75"/>
      <c r="OLR106" s="75"/>
      <c r="OLS106" s="72"/>
      <c r="OLT106" s="68"/>
      <c r="OLU106" s="1"/>
      <c r="OLV106" s="73"/>
      <c r="OLW106" s="74"/>
      <c r="OLY106" s="75"/>
      <c r="OMB106" s="75"/>
      <c r="OMC106" s="72"/>
      <c r="OMD106" s="68"/>
      <c r="OME106" s="1"/>
      <c r="OMF106" s="73"/>
      <c r="OMG106" s="74"/>
      <c r="OMI106" s="75"/>
      <c r="OML106" s="75"/>
      <c r="OMM106" s="72"/>
      <c r="OMN106" s="68"/>
      <c r="OMO106" s="1"/>
      <c r="OMP106" s="73"/>
      <c r="OMQ106" s="74"/>
      <c r="OMS106" s="75"/>
      <c r="OMV106" s="75"/>
      <c r="OMW106" s="72"/>
      <c r="OMX106" s="68"/>
      <c r="OMY106" s="1"/>
      <c r="OMZ106" s="73"/>
      <c r="ONA106" s="74"/>
      <c r="ONC106" s="75"/>
      <c r="ONF106" s="75"/>
      <c r="ONG106" s="72"/>
      <c r="ONH106" s="68"/>
      <c r="ONI106" s="1"/>
      <c r="ONJ106" s="73"/>
      <c r="ONK106" s="74"/>
      <c r="ONM106" s="75"/>
      <c r="ONP106" s="75"/>
      <c r="ONQ106" s="72"/>
      <c r="ONR106" s="68"/>
      <c r="ONS106" s="1"/>
      <c r="ONT106" s="73"/>
      <c r="ONU106" s="74"/>
      <c r="ONW106" s="75"/>
      <c r="ONZ106" s="75"/>
      <c r="OOA106" s="72"/>
      <c r="OOB106" s="68"/>
      <c r="OOC106" s="1"/>
      <c r="OOD106" s="73"/>
      <c r="OOE106" s="74"/>
      <c r="OOG106" s="75"/>
      <c r="OOJ106" s="75"/>
      <c r="OOK106" s="72"/>
      <c r="OOL106" s="68"/>
      <c r="OOM106" s="1"/>
      <c r="OON106" s="73"/>
      <c r="OOO106" s="74"/>
      <c r="OOQ106" s="75"/>
      <c r="OOT106" s="75"/>
      <c r="OOU106" s="72"/>
      <c r="OOV106" s="68"/>
      <c r="OOW106" s="1"/>
      <c r="OOX106" s="73"/>
      <c r="OOY106" s="74"/>
      <c r="OPA106" s="75"/>
      <c r="OPD106" s="75"/>
      <c r="OPE106" s="72"/>
      <c r="OPF106" s="68"/>
      <c r="OPG106" s="1"/>
      <c r="OPH106" s="73"/>
      <c r="OPI106" s="74"/>
      <c r="OPK106" s="75"/>
      <c r="OPN106" s="75"/>
      <c r="OPO106" s="72"/>
      <c r="OPP106" s="68"/>
      <c r="OPQ106" s="1"/>
      <c r="OPR106" s="73"/>
      <c r="OPS106" s="74"/>
      <c r="OPU106" s="75"/>
      <c r="OPX106" s="75"/>
      <c r="OPY106" s="72"/>
      <c r="OPZ106" s="68"/>
      <c r="OQA106" s="1"/>
      <c r="OQB106" s="73"/>
      <c r="OQC106" s="74"/>
      <c r="OQE106" s="75"/>
      <c r="OQH106" s="75"/>
      <c r="OQI106" s="72"/>
      <c r="OQJ106" s="68"/>
      <c r="OQK106" s="1"/>
      <c r="OQL106" s="73"/>
      <c r="OQM106" s="74"/>
      <c r="OQO106" s="75"/>
      <c r="OQR106" s="75"/>
      <c r="OQS106" s="72"/>
      <c r="OQT106" s="68"/>
      <c r="OQU106" s="1"/>
      <c r="OQV106" s="73"/>
      <c r="OQW106" s="74"/>
      <c r="OQY106" s="75"/>
      <c r="ORB106" s="75"/>
      <c r="ORC106" s="72"/>
      <c r="ORD106" s="68"/>
      <c r="ORE106" s="1"/>
      <c r="ORF106" s="73"/>
      <c r="ORG106" s="74"/>
      <c r="ORI106" s="75"/>
      <c r="ORL106" s="75"/>
      <c r="ORM106" s="72"/>
      <c r="ORN106" s="68"/>
      <c r="ORO106" s="1"/>
      <c r="ORP106" s="73"/>
      <c r="ORQ106" s="74"/>
      <c r="ORS106" s="75"/>
      <c r="ORV106" s="75"/>
      <c r="ORW106" s="72"/>
      <c r="ORX106" s="68"/>
      <c r="ORY106" s="1"/>
      <c r="ORZ106" s="73"/>
      <c r="OSA106" s="74"/>
      <c r="OSC106" s="75"/>
      <c r="OSF106" s="75"/>
      <c r="OSG106" s="72"/>
      <c r="OSH106" s="68"/>
      <c r="OSI106" s="1"/>
      <c r="OSJ106" s="73"/>
      <c r="OSK106" s="74"/>
      <c r="OSM106" s="75"/>
      <c r="OSP106" s="75"/>
      <c r="OSQ106" s="72"/>
      <c r="OSR106" s="68"/>
      <c r="OSS106" s="1"/>
      <c r="OST106" s="73"/>
      <c r="OSU106" s="74"/>
      <c r="OSW106" s="75"/>
      <c r="OSZ106" s="75"/>
      <c r="OTA106" s="72"/>
      <c r="OTB106" s="68"/>
      <c r="OTC106" s="1"/>
      <c r="OTD106" s="73"/>
      <c r="OTE106" s="74"/>
      <c r="OTG106" s="75"/>
      <c r="OTJ106" s="75"/>
      <c r="OTK106" s="72"/>
      <c r="OTL106" s="68"/>
      <c r="OTM106" s="1"/>
      <c r="OTN106" s="73"/>
      <c r="OTO106" s="74"/>
      <c r="OTQ106" s="75"/>
      <c r="OTT106" s="75"/>
      <c r="OTU106" s="72"/>
      <c r="OTV106" s="68"/>
      <c r="OTW106" s="1"/>
      <c r="OTX106" s="73"/>
      <c r="OTY106" s="74"/>
      <c r="OUA106" s="75"/>
      <c r="OUD106" s="75"/>
      <c r="OUE106" s="72"/>
      <c r="OUF106" s="68"/>
      <c r="OUG106" s="1"/>
      <c r="OUH106" s="73"/>
      <c r="OUI106" s="74"/>
      <c r="OUK106" s="75"/>
      <c r="OUN106" s="75"/>
      <c r="OUO106" s="72"/>
      <c r="OUP106" s="68"/>
      <c r="OUQ106" s="1"/>
      <c r="OUR106" s="73"/>
      <c r="OUS106" s="74"/>
      <c r="OUU106" s="75"/>
      <c r="OUX106" s="75"/>
      <c r="OUY106" s="72"/>
      <c r="OUZ106" s="68"/>
      <c r="OVA106" s="1"/>
      <c r="OVB106" s="73"/>
      <c r="OVC106" s="74"/>
      <c r="OVE106" s="75"/>
      <c r="OVH106" s="75"/>
      <c r="OVI106" s="72"/>
      <c r="OVJ106" s="68"/>
      <c r="OVK106" s="1"/>
      <c r="OVL106" s="73"/>
      <c r="OVM106" s="74"/>
      <c r="OVO106" s="75"/>
      <c r="OVR106" s="75"/>
      <c r="OVS106" s="72"/>
      <c r="OVT106" s="68"/>
      <c r="OVU106" s="1"/>
      <c r="OVV106" s="73"/>
      <c r="OVW106" s="74"/>
      <c r="OVY106" s="75"/>
      <c r="OWB106" s="75"/>
      <c r="OWC106" s="72"/>
      <c r="OWD106" s="68"/>
      <c r="OWE106" s="1"/>
      <c r="OWF106" s="73"/>
      <c r="OWG106" s="74"/>
      <c r="OWI106" s="75"/>
      <c r="OWL106" s="75"/>
      <c r="OWM106" s="72"/>
      <c r="OWN106" s="68"/>
      <c r="OWO106" s="1"/>
      <c r="OWP106" s="73"/>
      <c r="OWQ106" s="74"/>
      <c r="OWS106" s="75"/>
      <c r="OWV106" s="75"/>
      <c r="OWW106" s="72"/>
      <c r="OWX106" s="68"/>
      <c r="OWY106" s="1"/>
      <c r="OWZ106" s="73"/>
      <c r="OXA106" s="74"/>
      <c r="OXC106" s="75"/>
      <c r="OXF106" s="75"/>
      <c r="OXG106" s="72"/>
      <c r="OXH106" s="68"/>
      <c r="OXI106" s="1"/>
      <c r="OXJ106" s="73"/>
      <c r="OXK106" s="74"/>
      <c r="OXM106" s="75"/>
      <c r="OXP106" s="75"/>
      <c r="OXQ106" s="72"/>
      <c r="OXR106" s="68"/>
      <c r="OXS106" s="1"/>
      <c r="OXT106" s="73"/>
      <c r="OXU106" s="74"/>
      <c r="OXW106" s="75"/>
      <c r="OXZ106" s="75"/>
      <c r="OYA106" s="72"/>
      <c r="OYB106" s="68"/>
      <c r="OYC106" s="1"/>
      <c r="OYD106" s="73"/>
      <c r="OYE106" s="74"/>
      <c r="OYG106" s="75"/>
      <c r="OYJ106" s="75"/>
      <c r="OYK106" s="72"/>
      <c r="OYL106" s="68"/>
      <c r="OYM106" s="1"/>
      <c r="OYN106" s="73"/>
      <c r="OYO106" s="74"/>
      <c r="OYQ106" s="75"/>
      <c r="OYT106" s="75"/>
      <c r="OYU106" s="72"/>
      <c r="OYV106" s="68"/>
      <c r="OYW106" s="1"/>
      <c r="OYX106" s="73"/>
      <c r="OYY106" s="74"/>
      <c r="OZA106" s="75"/>
      <c r="OZD106" s="75"/>
      <c r="OZE106" s="72"/>
      <c r="OZF106" s="68"/>
      <c r="OZG106" s="1"/>
      <c r="OZH106" s="73"/>
      <c r="OZI106" s="74"/>
      <c r="OZK106" s="75"/>
      <c r="OZN106" s="75"/>
      <c r="OZO106" s="72"/>
      <c r="OZP106" s="68"/>
      <c r="OZQ106" s="1"/>
      <c r="OZR106" s="73"/>
      <c r="OZS106" s="74"/>
      <c r="OZU106" s="75"/>
      <c r="OZX106" s="75"/>
      <c r="OZY106" s="72"/>
      <c r="OZZ106" s="68"/>
      <c r="PAA106" s="1"/>
      <c r="PAB106" s="73"/>
      <c r="PAC106" s="74"/>
      <c r="PAE106" s="75"/>
      <c r="PAH106" s="75"/>
      <c r="PAI106" s="72"/>
      <c r="PAJ106" s="68"/>
      <c r="PAK106" s="1"/>
      <c r="PAL106" s="73"/>
      <c r="PAM106" s="74"/>
      <c r="PAO106" s="75"/>
      <c r="PAR106" s="75"/>
      <c r="PAS106" s="72"/>
      <c r="PAT106" s="68"/>
      <c r="PAU106" s="1"/>
      <c r="PAV106" s="73"/>
      <c r="PAW106" s="74"/>
      <c r="PAY106" s="75"/>
      <c r="PBB106" s="75"/>
      <c r="PBC106" s="72"/>
      <c r="PBD106" s="68"/>
      <c r="PBE106" s="1"/>
      <c r="PBF106" s="73"/>
      <c r="PBG106" s="74"/>
      <c r="PBI106" s="75"/>
      <c r="PBL106" s="75"/>
      <c r="PBM106" s="72"/>
      <c r="PBN106" s="68"/>
      <c r="PBO106" s="1"/>
      <c r="PBP106" s="73"/>
      <c r="PBQ106" s="74"/>
      <c r="PBS106" s="75"/>
      <c r="PBV106" s="75"/>
      <c r="PBW106" s="72"/>
      <c r="PBX106" s="68"/>
      <c r="PBY106" s="1"/>
      <c r="PBZ106" s="73"/>
      <c r="PCA106" s="74"/>
      <c r="PCC106" s="75"/>
      <c r="PCF106" s="75"/>
      <c r="PCG106" s="72"/>
      <c r="PCH106" s="68"/>
      <c r="PCI106" s="1"/>
      <c r="PCJ106" s="73"/>
      <c r="PCK106" s="74"/>
      <c r="PCM106" s="75"/>
      <c r="PCP106" s="75"/>
      <c r="PCQ106" s="72"/>
      <c r="PCR106" s="68"/>
      <c r="PCS106" s="1"/>
      <c r="PCT106" s="73"/>
      <c r="PCU106" s="74"/>
      <c r="PCW106" s="75"/>
      <c r="PCZ106" s="75"/>
      <c r="PDA106" s="72"/>
      <c r="PDB106" s="68"/>
      <c r="PDC106" s="1"/>
      <c r="PDD106" s="73"/>
      <c r="PDE106" s="74"/>
      <c r="PDG106" s="75"/>
      <c r="PDJ106" s="75"/>
      <c r="PDK106" s="72"/>
      <c r="PDL106" s="68"/>
      <c r="PDM106" s="1"/>
      <c r="PDN106" s="73"/>
      <c r="PDO106" s="74"/>
      <c r="PDQ106" s="75"/>
      <c r="PDT106" s="75"/>
      <c r="PDU106" s="72"/>
      <c r="PDV106" s="68"/>
      <c r="PDW106" s="1"/>
      <c r="PDX106" s="73"/>
      <c r="PDY106" s="74"/>
      <c r="PEA106" s="75"/>
      <c r="PED106" s="75"/>
      <c r="PEE106" s="72"/>
      <c r="PEF106" s="68"/>
      <c r="PEG106" s="1"/>
      <c r="PEH106" s="73"/>
      <c r="PEI106" s="74"/>
      <c r="PEK106" s="75"/>
      <c r="PEN106" s="75"/>
      <c r="PEO106" s="72"/>
      <c r="PEP106" s="68"/>
      <c r="PEQ106" s="1"/>
      <c r="PER106" s="73"/>
      <c r="PES106" s="74"/>
      <c r="PEU106" s="75"/>
      <c r="PEX106" s="75"/>
      <c r="PEY106" s="72"/>
      <c r="PEZ106" s="68"/>
      <c r="PFA106" s="1"/>
      <c r="PFB106" s="73"/>
      <c r="PFC106" s="74"/>
      <c r="PFE106" s="75"/>
      <c r="PFH106" s="75"/>
      <c r="PFI106" s="72"/>
      <c r="PFJ106" s="68"/>
      <c r="PFK106" s="1"/>
      <c r="PFL106" s="73"/>
      <c r="PFM106" s="74"/>
      <c r="PFO106" s="75"/>
      <c r="PFR106" s="75"/>
      <c r="PFS106" s="72"/>
      <c r="PFT106" s="68"/>
      <c r="PFU106" s="1"/>
      <c r="PFV106" s="73"/>
      <c r="PFW106" s="74"/>
      <c r="PFY106" s="75"/>
      <c r="PGB106" s="75"/>
      <c r="PGC106" s="72"/>
      <c r="PGD106" s="68"/>
      <c r="PGE106" s="1"/>
      <c r="PGF106" s="73"/>
      <c r="PGG106" s="74"/>
      <c r="PGI106" s="75"/>
      <c r="PGL106" s="75"/>
      <c r="PGM106" s="72"/>
      <c r="PGN106" s="68"/>
      <c r="PGO106" s="1"/>
      <c r="PGP106" s="73"/>
      <c r="PGQ106" s="74"/>
      <c r="PGS106" s="75"/>
      <c r="PGV106" s="75"/>
      <c r="PGW106" s="72"/>
      <c r="PGX106" s="68"/>
      <c r="PGY106" s="1"/>
      <c r="PGZ106" s="73"/>
      <c r="PHA106" s="74"/>
      <c r="PHC106" s="75"/>
      <c r="PHF106" s="75"/>
      <c r="PHG106" s="72"/>
      <c r="PHH106" s="68"/>
      <c r="PHI106" s="1"/>
      <c r="PHJ106" s="73"/>
      <c r="PHK106" s="74"/>
      <c r="PHM106" s="75"/>
      <c r="PHP106" s="75"/>
      <c r="PHQ106" s="72"/>
      <c r="PHR106" s="68"/>
      <c r="PHS106" s="1"/>
      <c r="PHT106" s="73"/>
      <c r="PHU106" s="74"/>
      <c r="PHW106" s="75"/>
      <c r="PHZ106" s="75"/>
      <c r="PIA106" s="72"/>
      <c r="PIB106" s="68"/>
      <c r="PIC106" s="1"/>
      <c r="PID106" s="73"/>
      <c r="PIE106" s="74"/>
      <c r="PIG106" s="75"/>
      <c r="PIJ106" s="75"/>
      <c r="PIK106" s="72"/>
      <c r="PIL106" s="68"/>
      <c r="PIM106" s="1"/>
      <c r="PIN106" s="73"/>
      <c r="PIO106" s="74"/>
      <c r="PIQ106" s="75"/>
      <c r="PIT106" s="75"/>
      <c r="PIU106" s="72"/>
      <c r="PIV106" s="68"/>
      <c r="PIW106" s="1"/>
      <c r="PIX106" s="73"/>
      <c r="PIY106" s="74"/>
      <c r="PJA106" s="75"/>
      <c r="PJD106" s="75"/>
      <c r="PJE106" s="72"/>
      <c r="PJF106" s="68"/>
      <c r="PJG106" s="1"/>
      <c r="PJH106" s="73"/>
      <c r="PJI106" s="74"/>
      <c r="PJK106" s="75"/>
      <c r="PJN106" s="75"/>
      <c r="PJO106" s="72"/>
      <c r="PJP106" s="68"/>
      <c r="PJQ106" s="1"/>
      <c r="PJR106" s="73"/>
      <c r="PJS106" s="74"/>
      <c r="PJU106" s="75"/>
      <c r="PJX106" s="75"/>
      <c r="PJY106" s="72"/>
      <c r="PJZ106" s="68"/>
      <c r="PKA106" s="1"/>
      <c r="PKB106" s="73"/>
      <c r="PKC106" s="74"/>
      <c r="PKE106" s="75"/>
      <c r="PKH106" s="75"/>
      <c r="PKI106" s="72"/>
      <c r="PKJ106" s="68"/>
      <c r="PKK106" s="1"/>
      <c r="PKL106" s="73"/>
      <c r="PKM106" s="74"/>
      <c r="PKO106" s="75"/>
      <c r="PKR106" s="75"/>
      <c r="PKS106" s="72"/>
      <c r="PKT106" s="68"/>
      <c r="PKU106" s="1"/>
      <c r="PKV106" s="73"/>
      <c r="PKW106" s="74"/>
      <c r="PKY106" s="75"/>
      <c r="PLB106" s="75"/>
      <c r="PLC106" s="72"/>
      <c r="PLD106" s="68"/>
      <c r="PLE106" s="1"/>
      <c r="PLF106" s="73"/>
      <c r="PLG106" s="74"/>
      <c r="PLI106" s="75"/>
      <c r="PLL106" s="75"/>
      <c r="PLM106" s="72"/>
      <c r="PLN106" s="68"/>
      <c r="PLO106" s="1"/>
      <c r="PLP106" s="73"/>
      <c r="PLQ106" s="74"/>
      <c r="PLS106" s="75"/>
      <c r="PLV106" s="75"/>
      <c r="PLW106" s="72"/>
      <c r="PLX106" s="68"/>
      <c r="PLY106" s="1"/>
      <c r="PLZ106" s="73"/>
      <c r="PMA106" s="74"/>
      <c r="PMC106" s="75"/>
      <c r="PMF106" s="75"/>
      <c r="PMG106" s="72"/>
      <c r="PMH106" s="68"/>
      <c r="PMI106" s="1"/>
      <c r="PMJ106" s="73"/>
      <c r="PMK106" s="74"/>
      <c r="PMM106" s="75"/>
      <c r="PMP106" s="75"/>
      <c r="PMQ106" s="72"/>
      <c r="PMR106" s="68"/>
      <c r="PMS106" s="1"/>
      <c r="PMT106" s="73"/>
      <c r="PMU106" s="74"/>
      <c r="PMW106" s="75"/>
      <c r="PMZ106" s="75"/>
      <c r="PNA106" s="72"/>
      <c r="PNB106" s="68"/>
      <c r="PNC106" s="1"/>
      <c r="PND106" s="73"/>
      <c r="PNE106" s="74"/>
      <c r="PNG106" s="75"/>
      <c r="PNJ106" s="75"/>
      <c r="PNK106" s="72"/>
      <c r="PNL106" s="68"/>
      <c r="PNM106" s="1"/>
      <c r="PNN106" s="73"/>
      <c r="PNO106" s="74"/>
      <c r="PNQ106" s="75"/>
      <c r="PNT106" s="75"/>
      <c r="PNU106" s="72"/>
      <c r="PNV106" s="68"/>
      <c r="PNW106" s="1"/>
      <c r="PNX106" s="73"/>
      <c r="PNY106" s="74"/>
      <c r="POA106" s="75"/>
      <c r="POD106" s="75"/>
      <c r="POE106" s="72"/>
      <c r="POF106" s="68"/>
      <c r="POG106" s="1"/>
      <c r="POH106" s="73"/>
      <c r="POI106" s="74"/>
      <c r="POK106" s="75"/>
      <c r="PON106" s="75"/>
      <c r="POO106" s="72"/>
      <c r="POP106" s="68"/>
      <c r="POQ106" s="1"/>
      <c r="POR106" s="73"/>
      <c r="POS106" s="74"/>
      <c r="POU106" s="75"/>
      <c r="POX106" s="75"/>
      <c r="POY106" s="72"/>
      <c r="POZ106" s="68"/>
      <c r="PPA106" s="1"/>
      <c r="PPB106" s="73"/>
      <c r="PPC106" s="74"/>
      <c r="PPE106" s="75"/>
      <c r="PPH106" s="75"/>
      <c r="PPI106" s="72"/>
      <c r="PPJ106" s="68"/>
      <c r="PPK106" s="1"/>
      <c r="PPL106" s="73"/>
      <c r="PPM106" s="74"/>
      <c r="PPO106" s="75"/>
      <c r="PPR106" s="75"/>
      <c r="PPS106" s="72"/>
      <c r="PPT106" s="68"/>
      <c r="PPU106" s="1"/>
      <c r="PPV106" s="73"/>
      <c r="PPW106" s="74"/>
      <c r="PPY106" s="75"/>
      <c r="PQB106" s="75"/>
      <c r="PQC106" s="72"/>
      <c r="PQD106" s="68"/>
      <c r="PQE106" s="1"/>
      <c r="PQF106" s="73"/>
      <c r="PQG106" s="74"/>
      <c r="PQI106" s="75"/>
      <c r="PQL106" s="75"/>
      <c r="PQM106" s="72"/>
      <c r="PQN106" s="68"/>
      <c r="PQO106" s="1"/>
      <c r="PQP106" s="73"/>
      <c r="PQQ106" s="74"/>
      <c r="PQS106" s="75"/>
      <c r="PQV106" s="75"/>
      <c r="PQW106" s="72"/>
      <c r="PQX106" s="68"/>
      <c r="PQY106" s="1"/>
      <c r="PQZ106" s="73"/>
      <c r="PRA106" s="74"/>
      <c r="PRC106" s="75"/>
      <c r="PRF106" s="75"/>
      <c r="PRG106" s="72"/>
      <c r="PRH106" s="68"/>
      <c r="PRI106" s="1"/>
      <c r="PRJ106" s="73"/>
      <c r="PRK106" s="74"/>
      <c r="PRM106" s="75"/>
      <c r="PRP106" s="75"/>
      <c r="PRQ106" s="72"/>
      <c r="PRR106" s="68"/>
      <c r="PRS106" s="1"/>
      <c r="PRT106" s="73"/>
      <c r="PRU106" s="74"/>
      <c r="PRW106" s="75"/>
      <c r="PRZ106" s="75"/>
      <c r="PSA106" s="72"/>
      <c r="PSB106" s="68"/>
      <c r="PSC106" s="1"/>
      <c r="PSD106" s="73"/>
      <c r="PSE106" s="74"/>
      <c r="PSG106" s="75"/>
      <c r="PSJ106" s="75"/>
      <c r="PSK106" s="72"/>
      <c r="PSL106" s="68"/>
      <c r="PSM106" s="1"/>
      <c r="PSN106" s="73"/>
      <c r="PSO106" s="74"/>
      <c r="PSQ106" s="75"/>
      <c r="PST106" s="75"/>
      <c r="PSU106" s="72"/>
      <c r="PSV106" s="68"/>
      <c r="PSW106" s="1"/>
      <c r="PSX106" s="73"/>
      <c r="PSY106" s="74"/>
      <c r="PTA106" s="75"/>
      <c r="PTD106" s="75"/>
      <c r="PTE106" s="72"/>
      <c r="PTF106" s="68"/>
      <c r="PTG106" s="1"/>
      <c r="PTH106" s="73"/>
      <c r="PTI106" s="74"/>
      <c r="PTK106" s="75"/>
      <c r="PTN106" s="75"/>
      <c r="PTO106" s="72"/>
      <c r="PTP106" s="68"/>
      <c r="PTQ106" s="1"/>
      <c r="PTR106" s="73"/>
      <c r="PTS106" s="74"/>
      <c r="PTU106" s="75"/>
      <c r="PTX106" s="75"/>
      <c r="PTY106" s="72"/>
      <c r="PTZ106" s="68"/>
      <c r="PUA106" s="1"/>
      <c r="PUB106" s="73"/>
      <c r="PUC106" s="74"/>
      <c r="PUE106" s="75"/>
      <c r="PUH106" s="75"/>
      <c r="PUI106" s="72"/>
      <c r="PUJ106" s="68"/>
      <c r="PUK106" s="1"/>
      <c r="PUL106" s="73"/>
      <c r="PUM106" s="74"/>
      <c r="PUO106" s="75"/>
      <c r="PUR106" s="75"/>
      <c r="PUS106" s="72"/>
      <c r="PUT106" s="68"/>
      <c r="PUU106" s="1"/>
      <c r="PUV106" s="73"/>
      <c r="PUW106" s="74"/>
      <c r="PUY106" s="75"/>
      <c r="PVB106" s="75"/>
      <c r="PVC106" s="72"/>
      <c r="PVD106" s="68"/>
      <c r="PVE106" s="1"/>
      <c r="PVF106" s="73"/>
      <c r="PVG106" s="74"/>
      <c r="PVI106" s="75"/>
      <c r="PVL106" s="75"/>
      <c r="PVM106" s="72"/>
      <c r="PVN106" s="68"/>
      <c r="PVO106" s="1"/>
      <c r="PVP106" s="73"/>
      <c r="PVQ106" s="74"/>
      <c r="PVS106" s="75"/>
      <c r="PVV106" s="75"/>
      <c r="PVW106" s="72"/>
      <c r="PVX106" s="68"/>
      <c r="PVY106" s="1"/>
      <c r="PVZ106" s="73"/>
      <c r="PWA106" s="74"/>
      <c r="PWC106" s="75"/>
      <c r="PWF106" s="75"/>
      <c r="PWG106" s="72"/>
      <c r="PWH106" s="68"/>
      <c r="PWI106" s="1"/>
      <c r="PWJ106" s="73"/>
      <c r="PWK106" s="74"/>
      <c r="PWM106" s="75"/>
      <c r="PWP106" s="75"/>
      <c r="PWQ106" s="72"/>
      <c r="PWR106" s="68"/>
      <c r="PWS106" s="1"/>
      <c r="PWT106" s="73"/>
      <c r="PWU106" s="74"/>
      <c r="PWW106" s="75"/>
      <c r="PWZ106" s="75"/>
      <c r="PXA106" s="72"/>
      <c r="PXB106" s="68"/>
      <c r="PXC106" s="1"/>
      <c r="PXD106" s="73"/>
      <c r="PXE106" s="74"/>
      <c r="PXG106" s="75"/>
      <c r="PXJ106" s="75"/>
      <c r="PXK106" s="72"/>
      <c r="PXL106" s="68"/>
      <c r="PXM106" s="1"/>
      <c r="PXN106" s="73"/>
      <c r="PXO106" s="74"/>
      <c r="PXQ106" s="75"/>
      <c r="PXT106" s="75"/>
      <c r="PXU106" s="72"/>
      <c r="PXV106" s="68"/>
      <c r="PXW106" s="1"/>
      <c r="PXX106" s="73"/>
      <c r="PXY106" s="74"/>
      <c r="PYA106" s="75"/>
      <c r="PYD106" s="75"/>
      <c r="PYE106" s="72"/>
      <c r="PYF106" s="68"/>
      <c r="PYG106" s="1"/>
      <c r="PYH106" s="73"/>
      <c r="PYI106" s="74"/>
      <c r="PYK106" s="75"/>
      <c r="PYN106" s="75"/>
      <c r="PYO106" s="72"/>
      <c r="PYP106" s="68"/>
      <c r="PYQ106" s="1"/>
      <c r="PYR106" s="73"/>
      <c r="PYS106" s="74"/>
      <c r="PYU106" s="75"/>
      <c r="PYX106" s="75"/>
      <c r="PYY106" s="72"/>
      <c r="PYZ106" s="68"/>
      <c r="PZA106" s="1"/>
      <c r="PZB106" s="73"/>
      <c r="PZC106" s="74"/>
      <c r="PZE106" s="75"/>
      <c r="PZH106" s="75"/>
      <c r="PZI106" s="72"/>
      <c r="PZJ106" s="68"/>
      <c r="PZK106" s="1"/>
      <c r="PZL106" s="73"/>
      <c r="PZM106" s="74"/>
      <c r="PZO106" s="75"/>
      <c r="PZR106" s="75"/>
      <c r="PZS106" s="72"/>
      <c r="PZT106" s="68"/>
      <c r="PZU106" s="1"/>
      <c r="PZV106" s="73"/>
      <c r="PZW106" s="74"/>
      <c r="PZY106" s="75"/>
      <c r="QAB106" s="75"/>
      <c r="QAC106" s="72"/>
      <c r="QAD106" s="68"/>
      <c r="QAE106" s="1"/>
      <c r="QAF106" s="73"/>
      <c r="QAG106" s="74"/>
      <c r="QAI106" s="75"/>
      <c r="QAL106" s="75"/>
      <c r="QAM106" s="72"/>
      <c r="QAN106" s="68"/>
      <c r="QAO106" s="1"/>
      <c r="QAP106" s="73"/>
      <c r="QAQ106" s="74"/>
      <c r="QAS106" s="75"/>
      <c r="QAV106" s="75"/>
      <c r="QAW106" s="72"/>
      <c r="QAX106" s="68"/>
      <c r="QAY106" s="1"/>
      <c r="QAZ106" s="73"/>
      <c r="QBA106" s="74"/>
      <c r="QBC106" s="75"/>
      <c r="QBF106" s="75"/>
      <c r="QBG106" s="72"/>
      <c r="QBH106" s="68"/>
      <c r="QBI106" s="1"/>
      <c r="QBJ106" s="73"/>
      <c r="QBK106" s="74"/>
      <c r="QBM106" s="75"/>
      <c r="QBP106" s="75"/>
      <c r="QBQ106" s="72"/>
      <c r="QBR106" s="68"/>
      <c r="QBS106" s="1"/>
      <c r="QBT106" s="73"/>
      <c r="QBU106" s="74"/>
      <c r="QBW106" s="75"/>
      <c r="QBZ106" s="75"/>
      <c r="QCA106" s="72"/>
      <c r="QCB106" s="68"/>
      <c r="QCC106" s="1"/>
      <c r="QCD106" s="73"/>
      <c r="QCE106" s="74"/>
      <c r="QCG106" s="75"/>
      <c r="QCJ106" s="75"/>
      <c r="QCK106" s="72"/>
      <c r="QCL106" s="68"/>
      <c r="QCM106" s="1"/>
      <c r="QCN106" s="73"/>
      <c r="QCO106" s="74"/>
      <c r="QCQ106" s="75"/>
      <c r="QCT106" s="75"/>
      <c r="QCU106" s="72"/>
      <c r="QCV106" s="68"/>
      <c r="QCW106" s="1"/>
      <c r="QCX106" s="73"/>
      <c r="QCY106" s="74"/>
      <c r="QDA106" s="75"/>
      <c r="QDD106" s="75"/>
      <c r="QDE106" s="72"/>
      <c r="QDF106" s="68"/>
      <c r="QDG106" s="1"/>
      <c r="QDH106" s="73"/>
      <c r="QDI106" s="74"/>
      <c r="QDK106" s="75"/>
      <c r="QDN106" s="75"/>
      <c r="QDO106" s="72"/>
      <c r="QDP106" s="68"/>
      <c r="QDQ106" s="1"/>
      <c r="QDR106" s="73"/>
      <c r="QDS106" s="74"/>
      <c r="QDU106" s="75"/>
      <c r="QDX106" s="75"/>
      <c r="QDY106" s="72"/>
      <c r="QDZ106" s="68"/>
      <c r="QEA106" s="1"/>
      <c r="QEB106" s="73"/>
      <c r="QEC106" s="74"/>
      <c r="QEE106" s="75"/>
      <c r="QEH106" s="75"/>
      <c r="QEI106" s="72"/>
      <c r="QEJ106" s="68"/>
      <c r="QEK106" s="1"/>
      <c r="QEL106" s="73"/>
      <c r="QEM106" s="74"/>
      <c r="QEO106" s="75"/>
      <c r="QER106" s="75"/>
      <c r="QES106" s="72"/>
      <c r="QET106" s="68"/>
      <c r="QEU106" s="1"/>
      <c r="QEV106" s="73"/>
      <c r="QEW106" s="74"/>
      <c r="QEY106" s="75"/>
      <c r="QFB106" s="75"/>
      <c r="QFC106" s="72"/>
      <c r="QFD106" s="68"/>
      <c r="QFE106" s="1"/>
      <c r="QFF106" s="73"/>
      <c r="QFG106" s="74"/>
      <c r="QFI106" s="75"/>
      <c r="QFL106" s="75"/>
      <c r="QFM106" s="72"/>
      <c r="QFN106" s="68"/>
      <c r="QFO106" s="1"/>
      <c r="QFP106" s="73"/>
      <c r="QFQ106" s="74"/>
      <c r="QFS106" s="75"/>
      <c r="QFV106" s="75"/>
      <c r="QFW106" s="72"/>
      <c r="QFX106" s="68"/>
      <c r="QFY106" s="1"/>
      <c r="QFZ106" s="73"/>
      <c r="QGA106" s="74"/>
      <c r="QGC106" s="75"/>
      <c r="QGF106" s="75"/>
      <c r="QGG106" s="72"/>
      <c r="QGH106" s="68"/>
      <c r="QGI106" s="1"/>
      <c r="QGJ106" s="73"/>
      <c r="QGK106" s="74"/>
      <c r="QGM106" s="75"/>
      <c r="QGP106" s="75"/>
      <c r="QGQ106" s="72"/>
      <c r="QGR106" s="68"/>
      <c r="QGS106" s="1"/>
      <c r="QGT106" s="73"/>
      <c r="QGU106" s="74"/>
      <c r="QGW106" s="75"/>
      <c r="QGZ106" s="75"/>
      <c r="QHA106" s="72"/>
      <c r="QHB106" s="68"/>
      <c r="QHC106" s="1"/>
      <c r="QHD106" s="73"/>
      <c r="QHE106" s="74"/>
      <c r="QHG106" s="75"/>
      <c r="QHJ106" s="75"/>
      <c r="QHK106" s="72"/>
      <c r="QHL106" s="68"/>
      <c r="QHM106" s="1"/>
      <c r="QHN106" s="73"/>
      <c r="QHO106" s="74"/>
      <c r="QHQ106" s="75"/>
      <c r="QHT106" s="75"/>
      <c r="QHU106" s="72"/>
      <c r="QHV106" s="68"/>
      <c r="QHW106" s="1"/>
      <c r="QHX106" s="73"/>
      <c r="QHY106" s="74"/>
      <c r="QIA106" s="75"/>
      <c r="QID106" s="75"/>
      <c r="QIE106" s="72"/>
      <c r="QIF106" s="68"/>
      <c r="QIG106" s="1"/>
      <c r="QIH106" s="73"/>
      <c r="QII106" s="74"/>
      <c r="QIK106" s="75"/>
      <c r="QIN106" s="75"/>
      <c r="QIO106" s="72"/>
      <c r="QIP106" s="68"/>
      <c r="QIQ106" s="1"/>
      <c r="QIR106" s="73"/>
      <c r="QIS106" s="74"/>
      <c r="QIU106" s="75"/>
      <c r="QIX106" s="75"/>
      <c r="QIY106" s="72"/>
      <c r="QIZ106" s="68"/>
      <c r="QJA106" s="1"/>
      <c r="QJB106" s="73"/>
      <c r="QJC106" s="74"/>
      <c r="QJE106" s="75"/>
      <c r="QJH106" s="75"/>
      <c r="QJI106" s="72"/>
      <c r="QJJ106" s="68"/>
      <c r="QJK106" s="1"/>
      <c r="QJL106" s="73"/>
      <c r="QJM106" s="74"/>
      <c r="QJO106" s="75"/>
      <c r="QJR106" s="75"/>
      <c r="QJS106" s="72"/>
      <c r="QJT106" s="68"/>
      <c r="QJU106" s="1"/>
      <c r="QJV106" s="73"/>
      <c r="QJW106" s="74"/>
      <c r="QJY106" s="75"/>
      <c r="QKB106" s="75"/>
      <c r="QKC106" s="72"/>
      <c r="QKD106" s="68"/>
      <c r="QKE106" s="1"/>
      <c r="QKF106" s="73"/>
      <c r="QKG106" s="74"/>
      <c r="QKI106" s="75"/>
      <c r="QKL106" s="75"/>
      <c r="QKM106" s="72"/>
      <c r="QKN106" s="68"/>
      <c r="QKO106" s="1"/>
      <c r="QKP106" s="73"/>
      <c r="QKQ106" s="74"/>
      <c r="QKS106" s="75"/>
      <c r="QKV106" s="75"/>
      <c r="QKW106" s="72"/>
      <c r="QKX106" s="68"/>
      <c r="QKY106" s="1"/>
      <c r="QKZ106" s="73"/>
      <c r="QLA106" s="74"/>
      <c r="QLC106" s="75"/>
      <c r="QLF106" s="75"/>
      <c r="QLG106" s="72"/>
      <c r="QLH106" s="68"/>
      <c r="QLI106" s="1"/>
      <c r="QLJ106" s="73"/>
      <c r="QLK106" s="74"/>
      <c r="QLM106" s="75"/>
      <c r="QLP106" s="75"/>
      <c r="QLQ106" s="72"/>
      <c r="QLR106" s="68"/>
      <c r="QLS106" s="1"/>
      <c r="QLT106" s="73"/>
      <c r="QLU106" s="74"/>
      <c r="QLW106" s="75"/>
      <c r="QLZ106" s="75"/>
      <c r="QMA106" s="72"/>
      <c r="QMB106" s="68"/>
      <c r="QMC106" s="1"/>
      <c r="QMD106" s="73"/>
      <c r="QME106" s="74"/>
      <c r="QMG106" s="75"/>
      <c r="QMJ106" s="75"/>
      <c r="QMK106" s="72"/>
      <c r="QML106" s="68"/>
      <c r="QMM106" s="1"/>
      <c r="QMN106" s="73"/>
      <c r="QMO106" s="74"/>
      <c r="QMQ106" s="75"/>
      <c r="QMT106" s="75"/>
      <c r="QMU106" s="72"/>
      <c r="QMV106" s="68"/>
      <c r="QMW106" s="1"/>
      <c r="QMX106" s="73"/>
      <c r="QMY106" s="74"/>
      <c r="QNA106" s="75"/>
      <c r="QND106" s="75"/>
      <c r="QNE106" s="72"/>
      <c r="QNF106" s="68"/>
      <c r="QNG106" s="1"/>
      <c r="QNH106" s="73"/>
      <c r="QNI106" s="74"/>
      <c r="QNK106" s="75"/>
      <c r="QNN106" s="75"/>
      <c r="QNO106" s="72"/>
      <c r="QNP106" s="68"/>
      <c r="QNQ106" s="1"/>
      <c r="QNR106" s="73"/>
      <c r="QNS106" s="74"/>
      <c r="QNU106" s="75"/>
      <c r="QNX106" s="75"/>
      <c r="QNY106" s="72"/>
      <c r="QNZ106" s="68"/>
      <c r="QOA106" s="1"/>
      <c r="QOB106" s="73"/>
      <c r="QOC106" s="74"/>
      <c r="QOE106" s="75"/>
      <c r="QOH106" s="75"/>
      <c r="QOI106" s="72"/>
      <c r="QOJ106" s="68"/>
      <c r="QOK106" s="1"/>
      <c r="QOL106" s="73"/>
      <c r="QOM106" s="74"/>
      <c r="QOO106" s="75"/>
      <c r="QOR106" s="75"/>
      <c r="QOS106" s="72"/>
      <c r="QOT106" s="68"/>
      <c r="QOU106" s="1"/>
      <c r="QOV106" s="73"/>
      <c r="QOW106" s="74"/>
      <c r="QOY106" s="75"/>
      <c r="QPB106" s="75"/>
      <c r="QPC106" s="72"/>
      <c r="QPD106" s="68"/>
      <c r="QPE106" s="1"/>
      <c r="QPF106" s="73"/>
      <c r="QPG106" s="74"/>
      <c r="QPI106" s="75"/>
      <c r="QPL106" s="75"/>
      <c r="QPM106" s="72"/>
      <c r="QPN106" s="68"/>
      <c r="QPO106" s="1"/>
      <c r="QPP106" s="73"/>
      <c r="QPQ106" s="74"/>
      <c r="QPS106" s="75"/>
      <c r="QPV106" s="75"/>
      <c r="QPW106" s="72"/>
      <c r="QPX106" s="68"/>
      <c r="QPY106" s="1"/>
      <c r="QPZ106" s="73"/>
      <c r="QQA106" s="74"/>
      <c r="QQC106" s="75"/>
      <c r="QQF106" s="75"/>
      <c r="QQG106" s="72"/>
      <c r="QQH106" s="68"/>
      <c r="QQI106" s="1"/>
      <c r="QQJ106" s="73"/>
      <c r="QQK106" s="74"/>
      <c r="QQM106" s="75"/>
      <c r="QQP106" s="75"/>
      <c r="QQQ106" s="72"/>
      <c r="QQR106" s="68"/>
      <c r="QQS106" s="1"/>
      <c r="QQT106" s="73"/>
      <c r="QQU106" s="74"/>
      <c r="QQW106" s="75"/>
      <c r="QQZ106" s="75"/>
      <c r="QRA106" s="72"/>
      <c r="QRB106" s="68"/>
      <c r="QRC106" s="1"/>
      <c r="QRD106" s="73"/>
      <c r="QRE106" s="74"/>
      <c r="QRG106" s="75"/>
      <c r="QRJ106" s="75"/>
      <c r="QRK106" s="72"/>
      <c r="QRL106" s="68"/>
      <c r="QRM106" s="1"/>
      <c r="QRN106" s="73"/>
      <c r="QRO106" s="74"/>
      <c r="QRQ106" s="75"/>
      <c r="QRT106" s="75"/>
      <c r="QRU106" s="72"/>
      <c r="QRV106" s="68"/>
      <c r="QRW106" s="1"/>
      <c r="QRX106" s="73"/>
      <c r="QRY106" s="74"/>
      <c r="QSA106" s="75"/>
      <c r="QSD106" s="75"/>
      <c r="QSE106" s="72"/>
      <c r="QSF106" s="68"/>
      <c r="QSG106" s="1"/>
      <c r="QSH106" s="73"/>
      <c r="QSI106" s="74"/>
      <c r="QSK106" s="75"/>
      <c r="QSN106" s="75"/>
      <c r="QSO106" s="72"/>
      <c r="QSP106" s="68"/>
      <c r="QSQ106" s="1"/>
      <c r="QSR106" s="73"/>
      <c r="QSS106" s="74"/>
      <c r="QSU106" s="75"/>
      <c r="QSX106" s="75"/>
      <c r="QSY106" s="72"/>
      <c r="QSZ106" s="68"/>
      <c r="QTA106" s="1"/>
      <c r="QTB106" s="73"/>
      <c r="QTC106" s="74"/>
      <c r="QTE106" s="75"/>
      <c r="QTH106" s="75"/>
      <c r="QTI106" s="72"/>
      <c r="QTJ106" s="68"/>
      <c r="QTK106" s="1"/>
      <c r="QTL106" s="73"/>
      <c r="QTM106" s="74"/>
      <c r="QTO106" s="75"/>
      <c r="QTR106" s="75"/>
      <c r="QTS106" s="72"/>
      <c r="QTT106" s="68"/>
      <c r="QTU106" s="1"/>
      <c r="QTV106" s="73"/>
      <c r="QTW106" s="74"/>
      <c r="QTY106" s="75"/>
      <c r="QUB106" s="75"/>
      <c r="QUC106" s="72"/>
      <c r="QUD106" s="68"/>
      <c r="QUE106" s="1"/>
      <c r="QUF106" s="73"/>
      <c r="QUG106" s="74"/>
      <c r="QUI106" s="75"/>
      <c r="QUL106" s="75"/>
      <c r="QUM106" s="72"/>
      <c r="QUN106" s="68"/>
      <c r="QUO106" s="1"/>
      <c r="QUP106" s="73"/>
      <c r="QUQ106" s="74"/>
      <c r="QUS106" s="75"/>
      <c r="QUV106" s="75"/>
      <c r="QUW106" s="72"/>
      <c r="QUX106" s="68"/>
      <c r="QUY106" s="1"/>
      <c r="QUZ106" s="73"/>
      <c r="QVA106" s="74"/>
      <c r="QVC106" s="75"/>
      <c r="QVF106" s="75"/>
      <c r="QVG106" s="72"/>
      <c r="QVH106" s="68"/>
      <c r="QVI106" s="1"/>
      <c r="QVJ106" s="73"/>
      <c r="QVK106" s="74"/>
      <c r="QVM106" s="75"/>
      <c r="QVP106" s="75"/>
      <c r="QVQ106" s="72"/>
      <c r="QVR106" s="68"/>
      <c r="QVS106" s="1"/>
      <c r="QVT106" s="73"/>
      <c r="QVU106" s="74"/>
      <c r="QVW106" s="75"/>
      <c r="QVZ106" s="75"/>
      <c r="QWA106" s="72"/>
      <c r="QWB106" s="68"/>
      <c r="QWC106" s="1"/>
      <c r="QWD106" s="73"/>
      <c r="QWE106" s="74"/>
      <c r="QWG106" s="75"/>
      <c r="QWJ106" s="75"/>
      <c r="QWK106" s="72"/>
      <c r="QWL106" s="68"/>
      <c r="QWM106" s="1"/>
      <c r="QWN106" s="73"/>
      <c r="QWO106" s="74"/>
      <c r="QWQ106" s="75"/>
      <c r="QWT106" s="75"/>
      <c r="QWU106" s="72"/>
      <c r="QWV106" s="68"/>
      <c r="QWW106" s="1"/>
      <c r="QWX106" s="73"/>
      <c r="QWY106" s="74"/>
      <c r="QXA106" s="75"/>
      <c r="QXD106" s="75"/>
      <c r="QXE106" s="72"/>
      <c r="QXF106" s="68"/>
      <c r="QXG106" s="1"/>
      <c r="QXH106" s="73"/>
      <c r="QXI106" s="74"/>
      <c r="QXK106" s="75"/>
      <c r="QXN106" s="75"/>
      <c r="QXO106" s="72"/>
      <c r="QXP106" s="68"/>
      <c r="QXQ106" s="1"/>
      <c r="QXR106" s="73"/>
      <c r="QXS106" s="74"/>
      <c r="QXU106" s="75"/>
      <c r="QXX106" s="75"/>
      <c r="QXY106" s="72"/>
      <c r="QXZ106" s="68"/>
      <c r="QYA106" s="1"/>
      <c r="QYB106" s="73"/>
      <c r="QYC106" s="74"/>
      <c r="QYE106" s="75"/>
      <c r="QYH106" s="75"/>
      <c r="QYI106" s="72"/>
      <c r="QYJ106" s="68"/>
      <c r="QYK106" s="1"/>
      <c r="QYL106" s="73"/>
      <c r="QYM106" s="74"/>
      <c r="QYO106" s="75"/>
      <c r="QYR106" s="75"/>
      <c r="QYS106" s="72"/>
      <c r="QYT106" s="68"/>
      <c r="QYU106" s="1"/>
      <c r="QYV106" s="73"/>
      <c r="QYW106" s="74"/>
      <c r="QYY106" s="75"/>
      <c r="QZB106" s="75"/>
      <c r="QZC106" s="72"/>
      <c r="QZD106" s="68"/>
      <c r="QZE106" s="1"/>
      <c r="QZF106" s="73"/>
      <c r="QZG106" s="74"/>
      <c r="QZI106" s="75"/>
      <c r="QZL106" s="75"/>
      <c r="QZM106" s="72"/>
      <c r="QZN106" s="68"/>
      <c r="QZO106" s="1"/>
      <c r="QZP106" s="73"/>
      <c r="QZQ106" s="74"/>
      <c r="QZS106" s="75"/>
      <c r="QZV106" s="75"/>
      <c r="QZW106" s="72"/>
      <c r="QZX106" s="68"/>
      <c r="QZY106" s="1"/>
      <c r="QZZ106" s="73"/>
      <c r="RAA106" s="74"/>
      <c r="RAC106" s="75"/>
      <c r="RAF106" s="75"/>
      <c r="RAG106" s="72"/>
      <c r="RAH106" s="68"/>
      <c r="RAI106" s="1"/>
      <c r="RAJ106" s="73"/>
      <c r="RAK106" s="74"/>
      <c r="RAM106" s="75"/>
      <c r="RAP106" s="75"/>
      <c r="RAQ106" s="72"/>
      <c r="RAR106" s="68"/>
      <c r="RAS106" s="1"/>
      <c r="RAT106" s="73"/>
      <c r="RAU106" s="74"/>
      <c r="RAW106" s="75"/>
      <c r="RAZ106" s="75"/>
      <c r="RBA106" s="72"/>
      <c r="RBB106" s="68"/>
      <c r="RBC106" s="1"/>
      <c r="RBD106" s="73"/>
      <c r="RBE106" s="74"/>
      <c r="RBG106" s="75"/>
      <c r="RBJ106" s="75"/>
      <c r="RBK106" s="72"/>
      <c r="RBL106" s="68"/>
      <c r="RBM106" s="1"/>
      <c r="RBN106" s="73"/>
      <c r="RBO106" s="74"/>
      <c r="RBQ106" s="75"/>
      <c r="RBT106" s="75"/>
      <c r="RBU106" s="72"/>
      <c r="RBV106" s="68"/>
      <c r="RBW106" s="1"/>
      <c r="RBX106" s="73"/>
      <c r="RBY106" s="74"/>
      <c r="RCA106" s="75"/>
      <c r="RCD106" s="75"/>
      <c r="RCE106" s="72"/>
      <c r="RCF106" s="68"/>
      <c r="RCG106" s="1"/>
      <c r="RCH106" s="73"/>
      <c r="RCI106" s="74"/>
      <c r="RCK106" s="75"/>
      <c r="RCN106" s="75"/>
      <c r="RCO106" s="72"/>
      <c r="RCP106" s="68"/>
      <c r="RCQ106" s="1"/>
      <c r="RCR106" s="73"/>
      <c r="RCS106" s="74"/>
      <c r="RCU106" s="75"/>
      <c r="RCX106" s="75"/>
      <c r="RCY106" s="72"/>
      <c r="RCZ106" s="68"/>
      <c r="RDA106" s="1"/>
      <c r="RDB106" s="73"/>
      <c r="RDC106" s="74"/>
      <c r="RDE106" s="75"/>
      <c r="RDH106" s="75"/>
      <c r="RDI106" s="72"/>
      <c r="RDJ106" s="68"/>
      <c r="RDK106" s="1"/>
      <c r="RDL106" s="73"/>
      <c r="RDM106" s="74"/>
      <c r="RDO106" s="75"/>
      <c r="RDR106" s="75"/>
      <c r="RDS106" s="72"/>
      <c r="RDT106" s="68"/>
      <c r="RDU106" s="1"/>
      <c r="RDV106" s="73"/>
      <c r="RDW106" s="74"/>
      <c r="RDY106" s="75"/>
      <c r="REB106" s="75"/>
      <c r="REC106" s="72"/>
      <c r="RED106" s="68"/>
      <c r="REE106" s="1"/>
      <c r="REF106" s="73"/>
      <c r="REG106" s="74"/>
      <c r="REI106" s="75"/>
      <c r="REL106" s="75"/>
      <c r="REM106" s="72"/>
      <c r="REN106" s="68"/>
      <c r="REO106" s="1"/>
      <c r="REP106" s="73"/>
      <c r="REQ106" s="74"/>
      <c r="RES106" s="75"/>
      <c r="REV106" s="75"/>
      <c r="REW106" s="72"/>
      <c r="REX106" s="68"/>
      <c r="REY106" s="1"/>
      <c r="REZ106" s="73"/>
      <c r="RFA106" s="74"/>
      <c r="RFC106" s="75"/>
      <c r="RFF106" s="75"/>
      <c r="RFG106" s="72"/>
      <c r="RFH106" s="68"/>
      <c r="RFI106" s="1"/>
      <c r="RFJ106" s="73"/>
      <c r="RFK106" s="74"/>
      <c r="RFM106" s="75"/>
      <c r="RFP106" s="75"/>
      <c r="RFQ106" s="72"/>
      <c r="RFR106" s="68"/>
      <c r="RFS106" s="1"/>
      <c r="RFT106" s="73"/>
      <c r="RFU106" s="74"/>
      <c r="RFW106" s="75"/>
      <c r="RFZ106" s="75"/>
      <c r="RGA106" s="72"/>
      <c r="RGB106" s="68"/>
      <c r="RGC106" s="1"/>
      <c r="RGD106" s="73"/>
      <c r="RGE106" s="74"/>
      <c r="RGG106" s="75"/>
      <c r="RGJ106" s="75"/>
      <c r="RGK106" s="72"/>
      <c r="RGL106" s="68"/>
      <c r="RGM106" s="1"/>
      <c r="RGN106" s="73"/>
      <c r="RGO106" s="74"/>
      <c r="RGQ106" s="75"/>
      <c r="RGT106" s="75"/>
      <c r="RGU106" s="72"/>
      <c r="RGV106" s="68"/>
      <c r="RGW106" s="1"/>
      <c r="RGX106" s="73"/>
      <c r="RGY106" s="74"/>
      <c r="RHA106" s="75"/>
      <c r="RHD106" s="75"/>
      <c r="RHE106" s="72"/>
      <c r="RHF106" s="68"/>
      <c r="RHG106" s="1"/>
      <c r="RHH106" s="73"/>
      <c r="RHI106" s="74"/>
      <c r="RHK106" s="75"/>
      <c r="RHN106" s="75"/>
      <c r="RHO106" s="72"/>
      <c r="RHP106" s="68"/>
      <c r="RHQ106" s="1"/>
      <c r="RHR106" s="73"/>
      <c r="RHS106" s="74"/>
      <c r="RHU106" s="75"/>
      <c r="RHX106" s="75"/>
      <c r="RHY106" s="72"/>
      <c r="RHZ106" s="68"/>
      <c r="RIA106" s="1"/>
      <c r="RIB106" s="73"/>
      <c r="RIC106" s="74"/>
      <c r="RIE106" s="75"/>
      <c r="RIH106" s="75"/>
      <c r="RII106" s="72"/>
      <c r="RIJ106" s="68"/>
      <c r="RIK106" s="1"/>
      <c r="RIL106" s="73"/>
      <c r="RIM106" s="74"/>
      <c r="RIO106" s="75"/>
      <c r="RIR106" s="75"/>
      <c r="RIS106" s="72"/>
      <c r="RIT106" s="68"/>
      <c r="RIU106" s="1"/>
      <c r="RIV106" s="73"/>
      <c r="RIW106" s="74"/>
      <c r="RIY106" s="75"/>
      <c r="RJB106" s="75"/>
      <c r="RJC106" s="72"/>
      <c r="RJD106" s="68"/>
      <c r="RJE106" s="1"/>
      <c r="RJF106" s="73"/>
      <c r="RJG106" s="74"/>
      <c r="RJI106" s="75"/>
      <c r="RJL106" s="75"/>
      <c r="RJM106" s="72"/>
      <c r="RJN106" s="68"/>
      <c r="RJO106" s="1"/>
      <c r="RJP106" s="73"/>
      <c r="RJQ106" s="74"/>
      <c r="RJS106" s="75"/>
      <c r="RJV106" s="75"/>
      <c r="RJW106" s="72"/>
      <c r="RJX106" s="68"/>
      <c r="RJY106" s="1"/>
      <c r="RJZ106" s="73"/>
      <c r="RKA106" s="74"/>
      <c r="RKC106" s="75"/>
      <c r="RKF106" s="75"/>
      <c r="RKG106" s="72"/>
      <c r="RKH106" s="68"/>
      <c r="RKI106" s="1"/>
      <c r="RKJ106" s="73"/>
      <c r="RKK106" s="74"/>
      <c r="RKM106" s="75"/>
      <c r="RKP106" s="75"/>
      <c r="RKQ106" s="72"/>
      <c r="RKR106" s="68"/>
      <c r="RKS106" s="1"/>
      <c r="RKT106" s="73"/>
      <c r="RKU106" s="74"/>
      <c r="RKW106" s="75"/>
      <c r="RKZ106" s="75"/>
      <c r="RLA106" s="72"/>
      <c r="RLB106" s="68"/>
      <c r="RLC106" s="1"/>
      <c r="RLD106" s="73"/>
      <c r="RLE106" s="74"/>
      <c r="RLG106" s="75"/>
      <c r="RLJ106" s="75"/>
      <c r="RLK106" s="72"/>
      <c r="RLL106" s="68"/>
      <c r="RLM106" s="1"/>
      <c r="RLN106" s="73"/>
      <c r="RLO106" s="74"/>
      <c r="RLQ106" s="75"/>
      <c r="RLT106" s="75"/>
      <c r="RLU106" s="72"/>
      <c r="RLV106" s="68"/>
      <c r="RLW106" s="1"/>
      <c r="RLX106" s="73"/>
      <c r="RLY106" s="74"/>
      <c r="RMA106" s="75"/>
      <c r="RMD106" s="75"/>
      <c r="RME106" s="72"/>
      <c r="RMF106" s="68"/>
      <c r="RMG106" s="1"/>
      <c r="RMH106" s="73"/>
      <c r="RMI106" s="74"/>
      <c r="RMK106" s="75"/>
      <c r="RMN106" s="75"/>
      <c r="RMO106" s="72"/>
      <c r="RMP106" s="68"/>
      <c r="RMQ106" s="1"/>
      <c r="RMR106" s="73"/>
      <c r="RMS106" s="74"/>
      <c r="RMU106" s="75"/>
      <c r="RMX106" s="75"/>
      <c r="RMY106" s="72"/>
      <c r="RMZ106" s="68"/>
      <c r="RNA106" s="1"/>
      <c r="RNB106" s="73"/>
      <c r="RNC106" s="74"/>
      <c r="RNE106" s="75"/>
      <c r="RNH106" s="75"/>
      <c r="RNI106" s="72"/>
      <c r="RNJ106" s="68"/>
      <c r="RNK106" s="1"/>
      <c r="RNL106" s="73"/>
      <c r="RNM106" s="74"/>
      <c r="RNO106" s="75"/>
      <c r="RNR106" s="75"/>
      <c r="RNS106" s="72"/>
      <c r="RNT106" s="68"/>
      <c r="RNU106" s="1"/>
      <c r="RNV106" s="73"/>
      <c r="RNW106" s="74"/>
      <c r="RNY106" s="75"/>
      <c r="ROB106" s="75"/>
      <c r="ROC106" s="72"/>
      <c r="ROD106" s="68"/>
      <c r="ROE106" s="1"/>
      <c r="ROF106" s="73"/>
      <c r="ROG106" s="74"/>
      <c r="ROI106" s="75"/>
      <c r="ROL106" s="75"/>
      <c r="ROM106" s="72"/>
      <c r="RON106" s="68"/>
      <c r="ROO106" s="1"/>
      <c r="ROP106" s="73"/>
      <c r="ROQ106" s="74"/>
      <c r="ROS106" s="75"/>
      <c r="ROV106" s="75"/>
      <c r="ROW106" s="72"/>
      <c r="ROX106" s="68"/>
      <c r="ROY106" s="1"/>
      <c r="ROZ106" s="73"/>
      <c r="RPA106" s="74"/>
      <c r="RPC106" s="75"/>
      <c r="RPF106" s="75"/>
      <c r="RPG106" s="72"/>
      <c r="RPH106" s="68"/>
      <c r="RPI106" s="1"/>
      <c r="RPJ106" s="73"/>
      <c r="RPK106" s="74"/>
      <c r="RPM106" s="75"/>
      <c r="RPP106" s="75"/>
      <c r="RPQ106" s="72"/>
      <c r="RPR106" s="68"/>
      <c r="RPS106" s="1"/>
      <c r="RPT106" s="73"/>
      <c r="RPU106" s="74"/>
      <c r="RPW106" s="75"/>
      <c r="RPZ106" s="75"/>
      <c r="RQA106" s="72"/>
      <c r="RQB106" s="68"/>
      <c r="RQC106" s="1"/>
      <c r="RQD106" s="73"/>
      <c r="RQE106" s="74"/>
      <c r="RQG106" s="75"/>
      <c r="RQJ106" s="75"/>
      <c r="RQK106" s="72"/>
      <c r="RQL106" s="68"/>
      <c r="RQM106" s="1"/>
      <c r="RQN106" s="73"/>
      <c r="RQO106" s="74"/>
      <c r="RQQ106" s="75"/>
      <c r="RQT106" s="75"/>
      <c r="RQU106" s="72"/>
      <c r="RQV106" s="68"/>
      <c r="RQW106" s="1"/>
      <c r="RQX106" s="73"/>
      <c r="RQY106" s="74"/>
      <c r="RRA106" s="75"/>
      <c r="RRD106" s="75"/>
      <c r="RRE106" s="72"/>
      <c r="RRF106" s="68"/>
      <c r="RRG106" s="1"/>
      <c r="RRH106" s="73"/>
      <c r="RRI106" s="74"/>
      <c r="RRK106" s="75"/>
      <c r="RRN106" s="75"/>
      <c r="RRO106" s="72"/>
      <c r="RRP106" s="68"/>
      <c r="RRQ106" s="1"/>
      <c r="RRR106" s="73"/>
      <c r="RRS106" s="74"/>
      <c r="RRU106" s="75"/>
      <c r="RRX106" s="75"/>
      <c r="RRY106" s="72"/>
      <c r="RRZ106" s="68"/>
      <c r="RSA106" s="1"/>
      <c r="RSB106" s="73"/>
      <c r="RSC106" s="74"/>
      <c r="RSE106" s="75"/>
      <c r="RSH106" s="75"/>
      <c r="RSI106" s="72"/>
      <c r="RSJ106" s="68"/>
      <c r="RSK106" s="1"/>
      <c r="RSL106" s="73"/>
      <c r="RSM106" s="74"/>
      <c r="RSO106" s="75"/>
      <c r="RSR106" s="75"/>
      <c r="RSS106" s="72"/>
      <c r="RST106" s="68"/>
      <c r="RSU106" s="1"/>
      <c r="RSV106" s="73"/>
      <c r="RSW106" s="74"/>
      <c r="RSY106" s="75"/>
      <c r="RTB106" s="75"/>
      <c r="RTC106" s="72"/>
      <c r="RTD106" s="68"/>
      <c r="RTE106" s="1"/>
      <c r="RTF106" s="73"/>
      <c r="RTG106" s="74"/>
      <c r="RTI106" s="75"/>
      <c r="RTL106" s="75"/>
      <c r="RTM106" s="72"/>
      <c r="RTN106" s="68"/>
      <c r="RTO106" s="1"/>
      <c r="RTP106" s="73"/>
      <c r="RTQ106" s="74"/>
      <c r="RTS106" s="75"/>
      <c r="RTV106" s="75"/>
      <c r="RTW106" s="72"/>
      <c r="RTX106" s="68"/>
      <c r="RTY106" s="1"/>
      <c r="RTZ106" s="73"/>
      <c r="RUA106" s="74"/>
      <c r="RUC106" s="75"/>
      <c r="RUF106" s="75"/>
      <c r="RUG106" s="72"/>
      <c r="RUH106" s="68"/>
      <c r="RUI106" s="1"/>
      <c r="RUJ106" s="73"/>
      <c r="RUK106" s="74"/>
      <c r="RUM106" s="75"/>
      <c r="RUP106" s="75"/>
      <c r="RUQ106" s="72"/>
      <c r="RUR106" s="68"/>
      <c r="RUS106" s="1"/>
      <c r="RUT106" s="73"/>
      <c r="RUU106" s="74"/>
      <c r="RUW106" s="75"/>
      <c r="RUZ106" s="75"/>
      <c r="RVA106" s="72"/>
      <c r="RVB106" s="68"/>
      <c r="RVC106" s="1"/>
      <c r="RVD106" s="73"/>
      <c r="RVE106" s="74"/>
      <c r="RVG106" s="75"/>
      <c r="RVJ106" s="75"/>
      <c r="RVK106" s="72"/>
      <c r="RVL106" s="68"/>
      <c r="RVM106" s="1"/>
      <c r="RVN106" s="73"/>
      <c r="RVO106" s="74"/>
      <c r="RVQ106" s="75"/>
      <c r="RVT106" s="75"/>
      <c r="RVU106" s="72"/>
      <c r="RVV106" s="68"/>
      <c r="RVW106" s="1"/>
      <c r="RVX106" s="73"/>
      <c r="RVY106" s="74"/>
      <c r="RWA106" s="75"/>
      <c r="RWD106" s="75"/>
      <c r="RWE106" s="72"/>
      <c r="RWF106" s="68"/>
      <c r="RWG106" s="1"/>
      <c r="RWH106" s="73"/>
      <c r="RWI106" s="74"/>
      <c r="RWK106" s="75"/>
      <c r="RWN106" s="75"/>
      <c r="RWO106" s="72"/>
      <c r="RWP106" s="68"/>
      <c r="RWQ106" s="1"/>
      <c r="RWR106" s="73"/>
      <c r="RWS106" s="74"/>
      <c r="RWU106" s="75"/>
      <c r="RWX106" s="75"/>
      <c r="RWY106" s="72"/>
      <c r="RWZ106" s="68"/>
      <c r="RXA106" s="1"/>
      <c r="RXB106" s="73"/>
      <c r="RXC106" s="74"/>
      <c r="RXE106" s="75"/>
      <c r="RXH106" s="75"/>
      <c r="RXI106" s="72"/>
      <c r="RXJ106" s="68"/>
      <c r="RXK106" s="1"/>
      <c r="RXL106" s="73"/>
      <c r="RXM106" s="74"/>
      <c r="RXO106" s="75"/>
      <c r="RXR106" s="75"/>
      <c r="RXS106" s="72"/>
      <c r="RXT106" s="68"/>
      <c r="RXU106" s="1"/>
      <c r="RXV106" s="73"/>
      <c r="RXW106" s="74"/>
      <c r="RXY106" s="75"/>
      <c r="RYB106" s="75"/>
      <c r="RYC106" s="72"/>
      <c r="RYD106" s="68"/>
      <c r="RYE106" s="1"/>
      <c r="RYF106" s="73"/>
      <c r="RYG106" s="74"/>
      <c r="RYI106" s="75"/>
      <c r="RYL106" s="75"/>
      <c r="RYM106" s="72"/>
      <c r="RYN106" s="68"/>
      <c r="RYO106" s="1"/>
      <c r="RYP106" s="73"/>
      <c r="RYQ106" s="74"/>
      <c r="RYS106" s="75"/>
      <c r="RYV106" s="75"/>
      <c r="RYW106" s="72"/>
      <c r="RYX106" s="68"/>
      <c r="RYY106" s="1"/>
      <c r="RYZ106" s="73"/>
      <c r="RZA106" s="74"/>
      <c r="RZC106" s="75"/>
      <c r="RZF106" s="75"/>
      <c r="RZG106" s="72"/>
      <c r="RZH106" s="68"/>
      <c r="RZI106" s="1"/>
      <c r="RZJ106" s="73"/>
      <c r="RZK106" s="74"/>
      <c r="RZM106" s="75"/>
      <c r="RZP106" s="75"/>
      <c r="RZQ106" s="72"/>
      <c r="RZR106" s="68"/>
      <c r="RZS106" s="1"/>
      <c r="RZT106" s="73"/>
      <c r="RZU106" s="74"/>
      <c r="RZW106" s="75"/>
      <c r="RZZ106" s="75"/>
      <c r="SAA106" s="72"/>
      <c r="SAB106" s="68"/>
      <c r="SAC106" s="1"/>
      <c r="SAD106" s="73"/>
      <c r="SAE106" s="74"/>
      <c r="SAG106" s="75"/>
      <c r="SAJ106" s="75"/>
      <c r="SAK106" s="72"/>
      <c r="SAL106" s="68"/>
      <c r="SAM106" s="1"/>
      <c r="SAN106" s="73"/>
      <c r="SAO106" s="74"/>
      <c r="SAQ106" s="75"/>
      <c r="SAT106" s="75"/>
      <c r="SAU106" s="72"/>
      <c r="SAV106" s="68"/>
      <c r="SAW106" s="1"/>
      <c r="SAX106" s="73"/>
      <c r="SAY106" s="74"/>
      <c r="SBA106" s="75"/>
      <c r="SBD106" s="75"/>
      <c r="SBE106" s="72"/>
      <c r="SBF106" s="68"/>
      <c r="SBG106" s="1"/>
      <c r="SBH106" s="73"/>
      <c r="SBI106" s="74"/>
      <c r="SBK106" s="75"/>
      <c r="SBN106" s="75"/>
      <c r="SBO106" s="72"/>
      <c r="SBP106" s="68"/>
      <c r="SBQ106" s="1"/>
      <c r="SBR106" s="73"/>
      <c r="SBS106" s="74"/>
      <c r="SBU106" s="75"/>
      <c r="SBX106" s="75"/>
      <c r="SBY106" s="72"/>
      <c r="SBZ106" s="68"/>
      <c r="SCA106" s="1"/>
      <c r="SCB106" s="73"/>
      <c r="SCC106" s="74"/>
      <c r="SCE106" s="75"/>
      <c r="SCH106" s="75"/>
      <c r="SCI106" s="72"/>
      <c r="SCJ106" s="68"/>
      <c r="SCK106" s="1"/>
      <c r="SCL106" s="73"/>
      <c r="SCM106" s="74"/>
      <c r="SCO106" s="75"/>
      <c r="SCR106" s="75"/>
      <c r="SCS106" s="72"/>
      <c r="SCT106" s="68"/>
      <c r="SCU106" s="1"/>
      <c r="SCV106" s="73"/>
      <c r="SCW106" s="74"/>
      <c r="SCY106" s="75"/>
      <c r="SDB106" s="75"/>
      <c r="SDC106" s="72"/>
      <c r="SDD106" s="68"/>
      <c r="SDE106" s="1"/>
      <c r="SDF106" s="73"/>
      <c r="SDG106" s="74"/>
      <c r="SDI106" s="75"/>
      <c r="SDL106" s="75"/>
      <c r="SDM106" s="72"/>
      <c r="SDN106" s="68"/>
      <c r="SDO106" s="1"/>
      <c r="SDP106" s="73"/>
      <c r="SDQ106" s="74"/>
      <c r="SDS106" s="75"/>
      <c r="SDV106" s="75"/>
      <c r="SDW106" s="72"/>
      <c r="SDX106" s="68"/>
      <c r="SDY106" s="1"/>
      <c r="SDZ106" s="73"/>
      <c r="SEA106" s="74"/>
      <c r="SEC106" s="75"/>
      <c r="SEF106" s="75"/>
      <c r="SEG106" s="72"/>
      <c r="SEH106" s="68"/>
      <c r="SEI106" s="1"/>
      <c r="SEJ106" s="73"/>
      <c r="SEK106" s="74"/>
      <c r="SEM106" s="75"/>
      <c r="SEP106" s="75"/>
      <c r="SEQ106" s="72"/>
      <c r="SER106" s="68"/>
      <c r="SES106" s="1"/>
      <c r="SET106" s="73"/>
      <c r="SEU106" s="74"/>
      <c r="SEW106" s="75"/>
      <c r="SEZ106" s="75"/>
      <c r="SFA106" s="72"/>
      <c r="SFB106" s="68"/>
      <c r="SFC106" s="1"/>
      <c r="SFD106" s="73"/>
      <c r="SFE106" s="74"/>
      <c r="SFG106" s="75"/>
      <c r="SFJ106" s="75"/>
      <c r="SFK106" s="72"/>
      <c r="SFL106" s="68"/>
      <c r="SFM106" s="1"/>
      <c r="SFN106" s="73"/>
      <c r="SFO106" s="74"/>
      <c r="SFQ106" s="75"/>
      <c r="SFT106" s="75"/>
      <c r="SFU106" s="72"/>
      <c r="SFV106" s="68"/>
      <c r="SFW106" s="1"/>
      <c r="SFX106" s="73"/>
      <c r="SFY106" s="74"/>
      <c r="SGA106" s="75"/>
      <c r="SGD106" s="75"/>
      <c r="SGE106" s="72"/>
      <c r="SGF106" s="68"/>
      <c r="SGG106" s="1"/>
      <c r="SGH106" s="73"/>
      <c r="SGI106" s="74"/>
      <c r="SGK106" s="75"/>
      <c r="SGN106" s="75"/>
      <c r="SGO106" s="72"/>
      <c r="SGP106" s="68"/>
      <c r="SGQ106" s="1"/>
      <c r="SGR106" s="73"/>
      <c r="SGS106" s="74"/>
      <c r="SGU106" s="75"/>
      <c r="SGX106" s="75"/>
      <c r="SGY106" s="72"/>
      <c r="SGZ106" s="68"/>
      <c r="SHA106" s="1"/>
      <c r="SHB106" s="73"/>
      <c r="SHC106" s="74"/>
      <c r="SHE106" s="75"/>
      <c r="SHH106" s="75"/>
      <c r="SHI106" s="72"/>
      <c r="SHJ106" s="68"/>
      <c r="SHK106" s="1"/>
      <c r="SHL106" s="73"/>
      <c r="SHM106" s="74"/>
      <c r="SHO106" s="75"/>
      <c r="SHR106" s="75"/>
      <c r="SHS106" s="72"/>
      <c r="SHT106" s="68"/>
      <c r="SHU106" s="1"/>
      <c r="SHV106" s="73"/>
      <c r="SHW106" s="74"/>
      <c r="SHY106" s="75"/>
      <c r="SIB106" s="75"/>
      <c r="SIC106" s="72"/>
      <c r="SID106" s="68"/>
      <c r="SIE106" s="1"/>
      <c r="SIF106" s="73"/>
      <c r="SIG106" s="74"/>
      <c r="SII106" s="75"/>
      <c r="SIL106" s="75"/>
      <c r="SIM106" s="72"/>
      <c r="SIN106" s="68"/>
      <c r="SIO106" s="1"/>
      <c r="SIP106" s="73"/>
      <c r="SIQ106" s="74"/>
      <c r="SIS106" s="75"/>
      <c r="SIV106" s="75"/>
      <c r="SIW106" s="72"/>
      <c r="SIX106" s="68"/>
      <c r="SIY106" s="1"/>
      <c r="SIZ106" s="73"/>
      <c r="SJA106" s="74"/>
      <c r="SJC106" s="75"/>
      <c r="SJF106" s="75"/>
      <c r="SJG106" s="72"/>
      <c r="SJH106" s="68"/>
      <c r="SJI106" s="1"/>
      <c r="SJJ106" s="73"/>
      <c r="SJK106" s="74"/>
      <c r="SJM106" s="75"/>
      <c r="SJP106" s="75"/>
      <c r="SJQ106" s="72"/>
      <c r="SJR106" s="68"/>
      <c r="SJS106" s="1"/>
      <c r="SJT106" s="73"/>
      <c r="SJU106" s="74"/>
      <c r="SJW106" s="75"/>
      <c r="SJZ106" s="75"/>
      <c r="SKA106" s="72"/>
      <c r="SKB106" s="68"/>
      <c r="SKC106" s="1"/>
      <c r="SKD106" s="73"/>
      <c r="SKE106" s="74"/>
      <c r="SKG106" s="75"/>
      <c r="SKJ106" s="75"/>
      <c r="SKK106" s="72"/>
      <c r="SKL106" s="68"/>
      <c r="SKM106" s="1"/>
      <c r="SKN106" s="73"/>
      <c r="SKO106" s="74"/>
      <c r="SKQ106" s="75"/>
      <c r="SKT106" s="75"/>
      <c r="SKU106" s="72"/>
      <c r="SKV106" s="68"/>
      <c r="SKW106" s="1"/>
      <c r="SKX106" s="73"/>
      <c r="SKY106" s="74"/>
      <c r="SLA106" s="75"/>
      <c r="SLD106" s="75"/>
      <c r="SLE106" s="72"/>
      <c r="SLF106" s="68"/>
      <c r="SLG106" s="1"/>
      <c r="SLH106" s="73"/>
      <c r="SLI106" s="74"/>
      <c r="SLK106" s="75"/>
      <c r="SLN106" s="75"/>
      <c r="SLO106" s="72"/>
      <c r="SLP106" s="68"/>
      <c r="SLQ106" s="1"/>
      <c r="SLR106" s="73"/>
      <c r="SLS106" s="74"/>
      <c r="SLU106" s="75"/>
      <c r="SLX106" s="75"/>
      <c r="SLY106" s="72"/>
      <c r="SLZ106" s="68"/>
      <c r="SMA106" s="1"/>
      <c r="SMB106" s="73"/>
      <c r="SMC106" s="74"/>
      <c r="SME106" s="75"/>
      <c r="SMH106" s="75"/>
      <c r="SMI106" s="72"/>
      <c r="SMJ106" s="68"/>
      <c r="SMK106" s="1"/>
      <c r="SML106" s="73"/>
      <c r="SMM106" s="74"/>
      <c r="SMO106" s="75"/>
      <c r="SMR106" s="75"/>
      <c r="SMS106" s="72"/>
      <c r="SMT106" s="68"/>
      <c r="SMU106" s="1"/>
      <c r="SMV106" s="73"/>
      <c r="SMW106" s="74"/>
      <c r="SMY106" s="75"/>
      <c r="SNB106" s="75"/>
      <c r="SNC106" s="72"/>
      <c r="SND106" s="68"/>
      <c r="SNE106" s="1"/>
      <c r="SNF106" s="73"/>
      <c r="SNG106" s="74"/>
      <c r="SNI106" s="75"/>
      <c r="SNL106" s="75"/>
      <c r="SNM106" s="72"/>
      <c r="SNN106" s="68"/>
      <c r="SNO106" s="1"/>
      <c r="SNP106" s="73"/>
      <c r="SNQ106" s="74"/>
      <c r="SNS106" s="75"/>
      <c r="SNV106" s="75"/>
      <c r="SNW106" s="72"/>
      <c r="SNX106" s="68"/>
      <c r="SNY106" s="1"/>
      <c r="SNZ106" s="73"/>
      <c r="SOA106" s="74"/>
      <c r="SOC106" s="75"/>
      <c r="SOF106" s="75"/>
      <c r="SOG106" s="72"/>
      <c r="SOH106" s="68"/>
      <c r="SOI106" s="1"/>
      <c r="SOJ106" s="73"/>
      <c r="SOK106" s="74"/>
      <c r="SOM106" s="75"/>
      <c r="SOP106" s="75"/>
      <c r="SOQ106" s="72"/>
      <c r="SOR106" s="68"/>
      <c r="SOS106" s="1"/>
      <c r="SOT106" s="73"/>
      <c r="SOU106" s="74"/>
      <c r="SOW106" s="75"/>
      <c r="SOZ106" s="75"/>
      <c r="SPA106" s="72"/>
      <c r="SPB106" s="68"/>
      <c r="SPC106" s="1"/>
      <c r="SPD106" s="73"/>
      <c r="SPE106" s="74"/>
      <c r="SPG106" s="75"/>
      <c r="SPJ106" s="75"/>
      <c r="SPK106" s="72"/>
      <c r="SPL106" s="68"/>
      <c r="SPM106" s="1"/>
      <c r="SPN106" s="73"/>
      <c r="SPO106" s="74"/>
      <c r="SPQ106" s="75"/>
      <c r="SPT106" s="75"/>
      <c r="SPU106" s="72"/>
      <c r="SPV106" s="68"/>
      <c r="SPW106" s="1"/>
      <c r="SPX106" s="73"/>
      <c r="SPY106" s="74"/>
      <c r="SQA106" s="75"/>
      <c r="SQD106" s="75"/>
      <c r="SQE106" s="72"/>
      <c r="SQF106" s="68"/>
      <c r="SQG106" s="1"/>
      <c r="SQH106" s="73"/>
      <c r="SQI106" s="74"/>
      <c r="SQK106" s="75"/>
      <c r="SQN106" s="75"/>
      <c r="SQO106" s="72"/>
      <c r="SQP106" s="68"/>
      <c r="SQQ106" s="1"/>
      <c r="SQR106" s="73"/>
      <c r="SQS106" s="74"/>
      <c r="SQU106" s="75"/>
      <c r="SQX106" s="75"/>
      <c r="SQY106" s="72"/>
      <c r="SQZ106" s="68"/>
      <c r="SRA106" s="1"/>
      <c r="SRB106" s="73"/>
      <c r="SRC106" s="74"/>
      <c r="SRE106" s="75"/>
      <c r="SRH106" s="75"/>
      <c r="SRI106" s="72"/>
      <c r="SRJ106" s="68"/>
      <c r="SRK106" s="1"/>
      <c r="SRL106" s="73"/>
      <c r="SRM106" s="74"/>
      <c r="SRO106" s="75"/>
      <c r="SRR106" s="75"/>
      <c r="SRS106" s="72"/>
      <c r="SRT106" s="68"/>
      <c r="SRU106" s="1"/>
      <c r="SRV106" s="73"/>
      <c r="SRW106" s="74"/>
      <c r="SRY106" s="75"/>
      <c r="SSB106" s="75"/>
      <c r="SSC106" s="72"/>
      <c r="SSD106" s="68"/>
      <c r="SSE106" s="1"/>
      <c r="SSF106" s="73"/>
      <c r="SSG106" s="74"/>
      <c r="SSI106" s="75"/>
      <c r="SSL106" s="75"/>
      <c r="SSM106" s="72"/>
      <c r="SSN106" s="68"/>
      <c r="SSO106" s="1"/>
      <c r="SSP106" s="73"/>
      <c r="SSQ106" s="74"/>
      <c r="SSS106" s="75"/>
      <c r="SSV106" s="75"/>
      <c r="SSW106" s="72"/>
      <c r="SSX106" s="68"/>
      <c r="SSY106" s="1"/>
      <c r="SSZ106" s="73"/>
      <c r="STA106" s="74"/>
      <c r="STC106" s="75"/>
      <c r="STF106" s="75"/>
      <c r="STG106" s="72"/>
      <c r="STH106" s="68"/>
      <c r="STI106" s="1"/>
      <c r="STJ106" s="73"/>
      <c r="STK106" s="74"/>
      <c r="STM106" s="75"/>
      <c r="STP106" s="75"/>
      <c r="STQ106" s="72"/>
      <c r="STR106" s="68"/>
      <c r="STS106" s="1"/>
      <c r="STT106" s="73"/>
      <c r="STU106" s="74"/>
      <c r="STW106" s="75"/>
      <c r="STZ106" s="75"/>
      <c r="SUA106" s="72"/>
      <c r="SUB106" s="68"/>
      <c r="SUC106" s="1"/>
      <c r="SUD106" s="73"/>
      <c r="SUE106" s="74"/>
      <c r="SUG106" s="75"/>
      <c r="SUJ106" s="75"/>
      <c r="SUK106" s="72"/>
      <c r="SUL106" s="68"/>
      <c r="SUM106" s="1"/>
      <c r="SUN106" s="73"/>
      <c r="SUO106" s="74"/>
      <c r="SUQ106" s="75"/>
      <c r="SUT106" s="75"/>
      <c r="SUU106" s="72"/>
      <c r="SUV106" s="68"/>
      <c r="SUW106" s="1"/>
      <c r="SUX106" s="73"/>
      <c r="SUY106" s="74"/>
      <c r="SVA106" s="75"/>
      <c r="SVD106" s="75"/>
      <c r="SVE106" s="72"/>
      <c r="SVF106" s="68"/>
      <c r="SVG106" s="1"/>
      <c r="SVH106" s="73"/>
      <c r="SVI106" s="74"/>
      <c r="SVK106" s="75"/>
      <c r="SVN106" s="75"/>
      <c r="SVO106" s="72"/>
      <c r="SVP106" s="68"/>
      <c r="SVQ106" s="1"/>
      <c r="SVR106" s="73"/>
      <c r="SVS106" s="74"/>
      <c r="SVU106" s="75"/>
      <c r="SVX106" s="75"/>
      <c r="SVY106" s="72"/>
      <c r="SVZ106" s="68"/>
      <c r="SWA106" s="1"/>
      <c r="SWB106" s="73"/>
      <c r="SWC106" s="74"/>
      <c r="SWE106" s="75"/>
      <c r="SWH106" s="75"/>
      <c r="SWI106" s="72"/>
      <c r="SWJ106" s="68"/>
      <c r="SWK106" s="1"/>
      <c r="SWL106" s="73"/>
      <c r="SWM106" s="74"/>
      <c r="SWO106" s="75"/>
      <c r="SWR106" s="75"/>
      <c r="SWS106" s="72"/>
      <c r="SWT106" s="68"/>
      <c r="SWU106" s="1"/>
      <c r="SWV106" s="73"/>
      <c r="SWW106" s="74"/>
      <c r="SWY106" s="75"/>
      <c r="SXB106" s="75"/>
      <c r="SXC106" s="72"/>
      <c r="SXD106" s="68"/>
      <c r="SXE106" s="1"/>
      <c r="SXF106" s="73"/>
      <c r="SXG106" s="74"/>
      <c r="SXI106" s="75"/>
      <c r="SXL106" s="75"/>
      <c r="SXM106" s="72"/>
      <c r="SXN106" s="68"/>
      <c r="SXO106" s="1"/>
      <c r="SXP106" s="73"/>
      <c r="SXQ106" s="74"/>
      <c r="SXS106" s="75"/>
      <c r="SXV106" s="75"/>
      <c r="SXW106" s="72"/>
      <c r="SXX106" s="68"/>
      <c r="SXY106" s="1"/>
      <c r="SXZ106" s="73"/>
      <c r="SYA106" s="74"/>
      <c r="SYC106" s="75"/>
      <c r="SYF106" s="75"/>
      <c r="SYG106" s="72"/>
      <c r="SYH106" s="68"/>
      <c r="SYI106" s="1"/>
      <c r="SYJ106" s="73"/>
      <c r="SYK106" s="74"/>
      <c r="SYM106" s="75"/>
      <c r="SYP106" s="75"/>
      <c r="SYQ106" s="72"/>
      <c r="SYR106" s="68"/>
      <c r="SYS106" s="1"/>
      <c r="SYT106" s="73"/>
      <c r="SYU106" s="74"/>
      <c r="SYW106" s="75"/>
      <c r="SYZ106" s="75"/>
      <c r="SZA106" s="72"/>
      <c r="SZB106" s="68"/>
      <c r="SZC106" s="1"/>
      <c r="SZD106" s="73"/>
      <c r="SZE106" s="74"/>
      <c r="SZG106" s="75"/>
      <c r="SZJ106" s="75"/>
      <c r="SZK106" s="72"/>
      <c r="SZL106" s="68"/>
      <c r="SZM106" s="1"/>
      <c r="SZN106" s="73"/>
      <c r="SZO106" s="74"/>
      <c r="SZQ106" s="75"/>
      <c r="SZT106" s="75"/>
      <c r="SZU106" s="72"/>
      <c r="SZV106" s="68"/>
      <c r="SZW106" s="1"/>
      <c r="SZX106" s="73"/>
      <c r="SZY106" s="74"/>
      <c r="TAA106" s="75"/>
      <c r="TAD106" s="75"/>
      <c r="TAE106" s="72"/>
      <c r="TAF106" s="68"/>
      <c r="TAG106" s="1"/>
      <c r="TAH106" s="73"/>
      <c r="TAI106" s="74"/>
      <c r="TAK106" s="75"/>
      <c r="TAN106" s="75"/>
      <c r="TAO106" s="72"/>
      <c r="TAP106" s="68"/>
      <c r="TAQ106" s="1"/>
      <c r="TAR106" s="73"/>
      <c r="TAS106" s="74"/>
      <c r="TAU106" s="75"/>
      <c r="TAX106" s="75"/>
      <c r="TAY106" s="72"/>
      <c r="TAZ106" s="68"/>
      <c r="TBA106" s="1"/>
      <c r="TBB106" s="73"/>
      <c r="TBC106" s="74"/>
      <c r="TBE106" s="75"/>
      <c r="TBH106" s="75"/>
      <c r="TBI106" s="72"/>
      <c r="TBJ106" s="68"/>
      <c r="TBK106" s="1"/>
      <c r="TBL106" s="73"/>
      <c r="TBM106" s="74"/>
      <c r="TBO106" s="75"/>
      <c r="TBR106" s="75"/>
      <c r="TBS106" s="72"/>
      <c r="TBT106" s="68"/>
      <c r="TBU106" s="1"/>
      <c r="TBV106" s="73"/>
      <c r="TBW106" s="74"/>
      <c r="TBY106" s="75"/>
      <c r="TCB106" s="75"/>
      <c r="TCC106" s="72"/>
      <c r="TCD106" s="68"/>
      <c r="TCE106" s="1"/>
      <c r="TCF106" s="73"/>
      <c r="TCG106" s="74"/>
      <c r="TCI106" s="75"/>
      <c r="TCL106" s="75"/>
      <c r="TCM106" s="72"/>
      <c r="TCN106" s="68"/>
      <c r="TCO106" s="1"/>
      <c r="TCP106" s="73"/>
      <c r="TCQ106" s="74"/>
      <c r="TCS106" s="75"/>
      <c r="TCV106" s="75"/>
      <c r="TCW106" s="72"/>
      <c r="TCX106" s="68"/>
      <c r="TCY106" s="1"/>
      <c r="TCZ106" s="73"/>
      <c r="TDA106" s="74"/>
      <c r="TDC106" s="75"/>
      <c r="TDF106" s="75"/>
      <c r="TDG106" s="72"/>
      <c r="TDH106" s="68"/>
      <c r="TDI106" s="1"/>
      <c r="TDJ106" s="73"/>
      <c r="TDK106" s="74"/>
      <c r="TDM106" s="75"/>
      <c r="TDP106" s="75"/>
      <c r="TDQ106" s="72"/>
      <c r="TDR106" s="68"/>
      <c r="TDS106" s="1"/>
      <c r="TDT106" s="73"/>
      <c r="TDU106" s="74"/>
      <c r="TDW106" s="75"/>
      <c r="TDZ106" s="75"/>
      <c r="TEA106" s="72"/>
      <c r="TEB106" s="68"/>
      <c r="TEC106" s="1"/>
      <c r="TED106" s="73"/>
      <c r="TEE106" s="74"/>
      <c r="TEG106" s="75"/>
      <c r="TEJ106" s="75"/>
      <c r="TEK106" s="72"/>
      <c r="TEL106" s="68"/>
      <c r="TEM106" s="1"/>
      <c r="TEN106" s="73"/>
      <c r="TEO106" s="74"/>
      <c r="TEQ106" s="75"/>
      <c r="TET106" s="75"/>
      <c r="TEU106" s="72"/>
      <c r="TEV106" s="68"/>
      <c r="TEW106" s="1"/>
      <c r="TEX106" s="73"/>
      <c r="TEY106" s="74"/>
      <c r="TFA106" s="75"/>
      <c r="TFD106" s="75"/>
      <c r="TFE106" s="72"/>
      <c r="TFF106" s="68"/>
      <c r="TFG106" s="1"/>
      <c r="TFH106" s="73"/>
      <c r="TFI106" s="74"/>
      <c r="TFK106" s="75"/>
      <c r="TFN106" s="75"/>
      <c r="TFO106" s="72"/>
      <c r="TFP106" s="68"/>
      <c r="TFQ106" s="1"/>
      <c r="TFR106" s="73"/>
      <c r="TFS106" s="74"/>
      <c r="TFU106" s="75"/>
      <c r="TFX106" s="75"/>
      <c r="TFY106" s="72"/>
      <c r="TFZ106" s="68"/>
      <c r="TGA106" s="1"/>
      <c r="TGB106" s="73"/>
      <c r="TGC106" s="74"/>
      <c r="TGE106" s="75"/>
      <c r="TGH106" s="75"/>
      <c r="TGI106" s="72"/>
      <c r="TGJ106" s="68"/>
      <c r="TGK106" s="1"/>
      <c r="TGL106" s="73"/>
      <c r="TGM106" s="74"/>
      <c r="TGO106" s="75"/>
      <c r="TGR106" s="75"/>
      <c r="TGS106" s="72"/>
      <c r="TGT106" s="68"/>
      <c r="TGU106" s="1"/>
      <c r="TGV106" s="73"/>
      <c r="TGW106" s="74"/>
      <c r="TGY106" s="75"/>
      <c r="THB106" s="75"/>
      <c r="THC106" s="72"/>
      <c r="THD106" s="68"/>
      <c r="THE106" s="1"/>
      <c r="THF106" s="73"/>
      <c r="THG106" s="74"/>
      <c r="THI106" s="75"/>
      <c r="THL106" s="75"/>
      <c r="THM106" s="72"/>
      <c r="THN106" s="68"/>
      <c r="THO106" s="1"/>
      <c r="THP106" s="73"/>
      <c r="THQ106" s="74"/>
      <c r="THS106" s="75"/>
      <c r="THV106" s="75"/>
      <c r="THW106" s="72"/>
      <c r="THX106" s="68"/>
      <c r="THY106" s="1"/>
      <c r="THZ106" s="73"/>
      <c r="TIA106" s="74"/>
      <c r="TIC106" s="75"/>
      <c r="TIF106" s="75"/>
      <c r="TIG106" s="72"/>
      <c r="TIH106" s="68"/>
      <c r="TII106" s="1"/>
      <c r="TIJ106" s="73"/>
      <c r="TIK106" s="74"/>
      <c r="TIM106" s="75"/>
      <c r="TIP106" s="75"/>
      <c r="TIQ106" s="72"/>
      <c r="TIR106" s="68"/>
      <c r="TIS106" s="1"/>
      <c r="TIT106" s="73"/>
      <c r="TIU106" s="74"/>
      <c r="TIW106" s="75"/>
      <c r="TIZ106" s="75"/>
      <c r="TJA106" s="72"/>
      <c r="TJB106" s="68"/>
      <c r="TJC106" s="1"/>
      <c r="TJD106" s="73"/>
      <c r="TJE106" s="74"/>
      <c r="TJG106" s="75"/>
      <c r="TJJ106" s="75"/>
      <c r="TJK106" s="72"/>
      <c r="TJL106" s="68"/>
      <c r="TJM106" s="1"/>
      <c r="TJN106" s="73"/>
      <c r="TJO106" s="74"/>
      <c r="TJQ106" s="75"/>
      <c r="TJT106" s="75"/>
      <c r="TJU106" s="72"/>
      <c r="TJV106" s="68"/>
      <c r="TJW106" s="1"/>
      <c r="TJX106" s="73"/>
      <c r="TJY106" s="74"/>
      <c r="TKA106" s="75"/>
      <c r="TKD106" s="75"/>
      <c r="TKE106" s="72"/>
      <c r="TKF106" s="68"/>
      <c r="TKG106" s="1"/>
      <c r="TKH106" s="73"/>
      <c r="TKI106" s="74"/>
      <c r="TKK106" s="75"/>
      <c r="TKN106" s="75"/>
      <c r="TKO106" s="72"/>
      <c r="TKP106" s="68"/>
      <c r="TKQ106" s="1"/>
      <c r="TKR106" s="73"/>
      <c r="TKS106" s="74"/>
      <c r="TKU106" s="75"/>
      <c r="TKX106" s="75"/>
      <c r="TKY106" s="72"/>
      <c r="TKZ106" s="68"/>
      <c r="TLA106" s="1"/>
      <c r="TLB106" s="73"/>
      <c r="TLC106" s="74"/>
      <c r="TLE106" s="75"/>
      <c r="TLH106" s="75"/>
      <c r="TLI106" s="72"/>
      <c r="TLJ106" s="68"/>
      <c r="TLK106" s="1"/>
      <c r="TLL106" s="73"/>
      <c r="TLM106" s="74"/>
      <c r="TLO106" s="75"/>
      <c r="TLR106" s="75"/>
      <c r="TLS106" s="72"/>
      <c r="TLT106" s="68"/>
      <c r="TLU106" s="1"/>
      <c r="TLV106" s="73"/>
      <c r="TLW106" s="74"/>
      <c r="TLY106" s="75"/>
      <c r="TMB106" s="75"/>
      <c r="TMC106" s="72"/>
      <c r="TMD106" s="68"/>
      <c r="TME106" s="1"/>
      <c r="TMF106" s="73"/>
      <c r="TMG106" s="74"/>
      <c r="TMI106" s="75"/>
      <c r="TML106" s="75"/>
      <c r="TMM106" s="72"/>
      <c r="TMN106" s="68"/>
      <c r="TMO106" s="1"/>
      <c r="TMP106" s="73"/>
      <c r="TMQ106" s="74"/>
      <c r="TMS106" s="75"/>
      <c r="TMV106" s="75"/>
      <c r="TMW106" s="72"/>
      <c r="TMX106" s="68"/>
      <c r="TMY106" s="1"/>
      <c r="TMZ106" s="73"/>
      <c r="TNA106" s="74"/>
      <c r="TNC106" s="75"/>
      <c r="TNF106" s="75"/>
      <c r="TNG106" s="72"/>
      <c r="TNH106" s="68"/>
      <c r="TNI106" s="1"/>
      <c r="TNJ106" s="73"/>
      <c r="TNK106" s="74"/>
      <c r="TNM106" s="75"/>
      <c r="TNP106" s="75"/>
      <c r="TNQ106" s="72"/>
      <c r="TNR106" s="68"/>
      <c r="TNS106" s="1"/>
      <c r="TNT106" s="73"/>
      <c r="TNU106" s="74"/>
      <c r="TNW106" s="75"/>
      <c r="TNZ106" s="75"/>
      <c r="TOA106" s="72"/>
      <c r="TOB106" s="68"/>
      <c r="TOC106" s="1"/>
      <c r="TOD106" s="73"/>
      <c r="TOE106" s="74"/>
      <c r="TOG106" s="75"/>
      <c r="TOJ106" s="75"/>
      <c r="TOK106" s="72"/>
      <c r="TOL106" s="68"/>
      <c r="TOM106" s="1"/>
      <c r="TON106" s="73"/>
      <c r="TOO106" s="74"/>
      <c r="TOQ106" s="75"/>
      <c r="TOT106" s="75"/>
      <c r="TOU106" s="72"/>
      <c r="TOV106" s="68"/>
      <c r="TOW106" s="1"/>
      <c r="TOX106" s="73"/>
      <c r="TOY106" s="74"/>
      <c r="TPA106" s="75"/>
      <c r="TPD106" s="75"/>
      <c r="TPE106" s="72"/>
      <c r="TPF106" s="68"/>
      <c r="TPG106" s="1"/>
      <c r="TPH106" s="73"/>
      <c r="TPI106" s="74"/>
      <c r="TPK106" s="75"/>
      <c r="TPN106" s="75"/>
      <c r="TPO106" s="72"/>
      <c r="TPP106" s="68"/>
      <c r="TPQ106" s="1"/>
      <c r="TPR106" s="73"/>
      <c r="TPS106" s="74"/>
      <c r="TPU106" s="75"/>
      <c r="TPX106" s="75"/>
      <c r="TPY106" s="72"/>
      <c r="TPZ106" s="68"/>
      <c r="TQA106" s="1"/>
      <c r="TQB106" s="73"/>
      <c r="TQC106" s="74"/>
      <c r="TQE106" s="75"/>
      <c r="TQH106" s="75"/>
      <c r="TQI106" s="72"/>
      <c r="TQJ106" s="68"/>
      <c r="TQK106" s="1"/>
      <c r="TQL106" s="73"/>
      <c r="TQM106" s="74"/>
      <c r="TQO106" s="75"/>
      <c r="TQR106" s="75"/>
      <c r="TQS106" s="72"/>
      <c r="TQT106" s="68"/>
      <c r="TQU106" s="1"/>
      <c r="TQV106" s="73"/>
      <c r="TQW106" s="74"/>
      <c r="TQY106" s="75"/>
      <c r="TRB106" s="75"/>
      <c r="TRC106" s="72"/>
      <c r="TRD106" s="68"/>
      <c r="TRE106" s="1"/>
      <c r="TRF106" s="73"/>
      <c r="TRG106" s="74"/>
      <c r="TRI106" s="75"/>
      <c r="TRL106" s="75"/>
      <c r="TRM106" s="72"/>
      <c r="TRN106" s="68"/>
      <c r="TRO106" s="1"/>
      <c r="TRP106" s="73"/>
      <c r="TRQ106" s="74"/>
      <c r="TRS106" s="75"/>
      <c r="TRV106" s="75"/>
      <c r="TRW106" s="72"/>
      <c r="TRX106" s="68"/>
      <c r="TRY106" s="1"/>
      <c r="TRZ106" s="73"/>
      <c r="TSA106" s="74"/>
      <c r="TSC106" s="75"/>
      <c r="TSF106" s="75"/>
      <c r="TSG106" s="72"/>
      <c r="TSH106" s="68"/>
      <c r="TSI106" s="1"/>
      <c r="TSJ106" s="73"/>
      <c r="TSK106" s="74"/>
      <c r="TSM106" s="75"/>
      <c r="TSP106" s="75"/>
      <c r="TSQ106" s="72"/>
      <c r="TSR106" s="68"/>
      <c r="TSS106" s="1"/>
      <c r="TST106" s="73"/>
      <c r="TSU106" s="74"/>
      <c r="TSW106" s="75"/>
      <c r="TSZ106" s="75"/>
      <c r="TTA106" s="72"/>
      <c r="TTB106" s="68"/>
      <c r="TTC106" s="1"/>
      <c r="TTD106" s="73"/>
      <c r="TTE106" s="74"/>
      <c r="TTG106" s="75"/>
      <c r="TTJ106" s="75"/>
      <c r="TTK106" s="72"/>
      <c r="TTL106" s="68"/>
      <c r="TTM106" s="1"/>
      <c r="TTN106" s="73"/>
      <c r="TTO106" s="74"/>
      <c r="TTQ106" s="75"/>
      <c r="TTT106" s="75"/>
      <c r="TTU106" s="72"/>
      <c r="TTV106" s="68"/>
      <c r="TTW106" s="1"/>
      <c r="TTX106" s="73"/>
      <c r="TTY106" s="74"/>
      <c r="TUA106" s="75"/>
      <c r="TUD106" s="75"/>
      <c r="TUE106" s="72"/>
      <c r="TUF106" s="68"/>
      <c r="TUG106" s="1"/>
      <c r="TUH106" s="73"/>
      <c r="TUI106" s="74"/>
      <c r="TUK106" s="75"/>
      <c r="TUN106" s="75"/>
      <c r="TUO106" s="72"/>
      <c r="TUP106" s="68"/>
      <c r="TUQ106" s="1"/>
      <c r="TUR106" s="73"/>
      <c r="TUS106" s="74"/>
      <c r="TUU106" s="75"/>
      <c r="TUX106" s="75"/>
      <c r="TUY106" s="72"/>
      <c r="TUZ106" s="68"/>
      <c r="TVA106" s="1"/>
      <c r="TVB106" s="73"/>
      <c r="TVC106" s="74"/>
      <c r="TVE106" s="75"/>
      <c r="TVH106" s="75"/>
      <c r="TVI106" s="72"/>
      <c r="TVJ106" s="68"/>
      <c r="TVK106" s="1"/>
      <c r="TVL106" s="73"/>
      <c r="TVM106" s="74"/>
      <c r="TVO106" s="75"/>
      <c r="TVR106" s="75"/>
      <c r="TVS106" s="72"/>
      <c r="TVT106" s="68"/>
      <c r="TVU106" s="1"/>
      <c r="TVV106" s="73"/>
      <c r="TVW106" s="74"/>
      <c r="TVY106" s="75"/>
      <c r="TWB106" s="75"/>
      <c r="TWC106" s="72"/>
      <c r="TWD106" s="68"/>
      <c r="TWE106" s="1"/>
      <c r="TWF106" s="73"/>
      <c r="TWG106" s="74"/>
      <c r="TWI106" s="75"/>
      <c r="TWL106" s="75"/>
      <c r="TWM106" s="72"/>
      <c r="TWN106" s="68"/>
      <c r="TWO106" s="1"/>
      <c r="TWP106" s="73"/>
      <c r="TWQ106" s="74"/>
      <c r="TWS106" s="75"/>
      <c r="TWV106" s="75"/>
      <c r="TWW106" s="72"/>
      <c r="TWX106" s="68"/>
      <c r="TWY106" s="1"/>
      <c r="TWZ106" s="73"/>
      <c r="TXA106" s="74"/>
      <c r="TXC106" s="75"/>
      <c r="TXF106" s="75"/>
      <c r="TXG106" s="72"/>
      <c r="TXH106" s="68"/>
      <c r="TXI106" s="1"/>
      <c r="TXJ106" s="73"/>
      <c r="TXK106" s="74"/>
      <c r="TXM106" s="75"/>
      <c r="TXP106" s="75"/>
      <c r="TXQ106" s="72"/>
      <c r="TXR106" s="68"/>
      <c r="TXS106" s="1"/>
      <c r="TXT106" s="73"/>
      <c r="TXU106" s="74"/>
      <c r="TXW106" s="75"/>
      <c r="TXZ106" s="75"/>
      <c r="TYA106" s="72"/>
      <c r="TYB106" s="68"/>
      <c r="TYC106" s="1"/>
      <c r="TYD106" s="73"/>
      <c r="TYE106" s="74"/>
      <c r="TYG106" s="75"/>
      <c r="TYJ106" s="75"/>
      <c r="TYK106" s="72"/>
      <c r="TYL106" s="68"/>
      <c r="TYM106" s="1"/>
      <c r="TYN106" s="73"/>
      <c r="TYO106" s="74"/>
      <c r="TYQ106" s="75"/>
      <c r="TYT106" s="75"/>
      <c r="TYU106" s="72"/>
      <c r="TYV106" s="68"/>
      <c r="TYW106" s="1"/>
      <c r="TYX106" s="73"/>
      <c r="TYY106" s="74"/>
      <c r="TZA106" s="75"/>
      <c r="TZD106" s="75"/>
      <c r="TZE106" s="72"/>
      <c r="TZF106" s="68"/>
      <c r="TZG106" s="1"/>
      <c r="TZH106" s="73"/>
      <c r="TZI106" s="74"/>
      <c r="TZK106" s="75"/>
      <c r="TZN106" s="75"/>
      <c r="TZO106" s="72"/>
      <c r="TZP106" s="68"/>
      <c r="TZQ106" s="1"/>
      <c r="TZR106" s="73"/>
      <c r="TZS106" s="74"/>
      <c r="TZU106" s="75"/>
      <c r="TZX106" s="75"/>
      <c r="TZY106" s="72"/>
      <c r="TZZ106" s="68"/>
      <c r="UAA106" s="1"/>
      <c r="UAB106" s="73"/>
      <c r="UAC106" s="74"/>
      <c r="UAE106" s="75"/>
      <c r="UAH106" s="75"/>
      <c r="UAI106" s="72"/>
      <c r="UAJ106" s="68"/>
      <c r="UAK106" s="1"/>
      <c r="UAL106" s="73"/>
      <c r="UAM106" s="74"/>
      <c r="UAO106" s="75"/>
      <c r="UAR106" s="75"/>
      <c r="UAS106" s="72"/>
      <c r="UAT106" s="68"/>
      <c r="UAU106" s="1"/>
      <c r="UAV106" s="73"/>
      <c r="UAW106" s="74"/>
      <c r="UAY106" s="75"/>
      <c r="UBB106" s="75"/>
      <c r="UBC106" s="72"/>
      <c r="UBD106" s="68"/>
      <c r="UBE106" s="1"/>
      <c r="UBF106" s="73"/>
      <c r="UBG106" s="74"/>
      <c r="UBI106" s="75"/>
      <c r="UBL106" s="75"/>
      <c r="UBM106" s="72"/>
      <c r="UBN106" s="68"/>
      <c r="UBO106" s="1"/>
      <c r="UBP106" s="73"/>
      <c r="UBQ106" s="74"/>
      <c r="UBS106" s="75"/>
      <c r="UBV106" s="75"/>
      <c r="UBW106" s="72"/>
      <c r="UBX106" s="68"/>
      <c r="UBY106" s="1"/>
      <c r="UBZ106" s="73"/>
      <c r="UCA106" s="74"/>
      <c r="UCC106" s="75"/>
      <c r="UCF106" s="75"/>
      <c r="UCG106" s="72"/>
      <c r="UCH106" s="68"/>
      <c r="UCI106" s="1"/>
      <c r="UCJ106" s="73"/>
      <c r="UCK106" s="74"/>
      <c r="UCM106" s="75"/>
      <c r="UCP106" s="75"/>
      <c r="UCQ106" s="72"/>
      <c r="UCR106" s="68"/>
      <c r="UCS106" s="1"/>
      <c r="UCT106" s="73"/>
      <c r="UCU106" s="74"/>
      <c r="UCW106" s="75"/>
      <c r="UCZ106" s="75"/>
      <c r="UDA106" s="72"/>
      <c r="UDB106" s="68"/>
      <c r="UDC106" s="1"/>
      <c r="UDD106" s="73"/>
      <c r="UDE106" s="74"/>
      <c r="UDG106" s="75"/>
      <c r="UDJ106" s="75"/>
      <c r="UDK106" s="72"/>
      <c r="UDL106" s="68"/>
      <c r="UDM106" s="1"/>
      <c r="UDN106" s="73"/>
      <c r="UDO106" s="74"/>
      <c r="UDQ106" s="75"/>
      <c r="UDT106" s="75"/>
      <c r="UDU106" s="72"/>
      <c r="UDV106" s="68"/>
      <c r="UDW106" s="1"/>
      <c r="UDX106" s="73"/>
      <c r="UDY106" s="74"/>
      <c r="UEA106" s="75"/>
      <c r="UED106" s="75"/>
      <c r="UEE106" s="72"/>
      <c r="UEF106" s="68"/>
      <c r="UEG106" s="1"/>
      <c r="UEH106" s="73"/>
      <c r="UEI106" s="74"/>
      <c r="UEK106" s="75"/>
      <c r="UEN106" s="75"/>
      <c r="UEO106" s="72"/>
      <c r="UEP106" s="68"/>
      <c r="UEQ106" s="1"/>
      <c r="UER106" s="73"/>
      <c r="UES106" s="74"/>
      <c r="UEU106" s="75"/>
      <c r="UEX106" s="75"/>
      <c r="UEY106" s="72"/>
      <c r="UEZ106" s="68"/>
      <c r="UFA106" s="1"/>
      <c r="UFB106" s="73"/>
      <c r="UFC106" s="74"/>
      <c r="UFE106" s="75"/>
      <c r="UFH106" s="75"/>
      <c r="UFI106" s="72"/>
      <c r="UFJ106" s="68"/>
      <c r="UFK106" s="1"/>
      <c r="UFL106" s="73"/>
      <c r="UFM106" s="74"/>
      <c r="UFO106" s="75"/>
      <c r="UFR106" s="75"/>
      <c r="UFS106" s="72"/>
      <c r="UFT106" s="68"/>
      <c r="UFU106" s="1"/>
      <c r="UFV106" s="73"/>
      <c r="UFW106" s="74"/>
      <c r="UFY106" s="75"/>
      <c r="UGB106" s="75"/>
      <c r="UGC106" s="72"/>
      <c r="UGD106" s="68"/>
      <c r="UGE106" s="1"/>
      <c r="UGF106" s="73"/>
      <c r="UGG106" s="74"/>
      <c r="UGI106" s="75"/>
      <c r="UGL106" s="75"/>
      <c r="UGM106" s="72"/>
      <c r="UGN106" s="68"/>
      <c r="UGO106" s="1"/>
      <c r="UGP106" s="73"/>
      <c r="UGQ106" s="74"/>
      <c r="UGS106" s="75"/>
      <c r="UGV106" s="75"/>
      <c r="UGW106" s="72"/>
      <c r="UGX106" s="68"/>
      <c r="UGY106" s="1"/>
      <c r="UGZ106" s="73"/>
      <c r="UHA106" s="74"/>
      <c r="UHC106" s="75"/>
      <c r="UHF106" s="75"/>
      <c r="UHG106" s="72"/>
      <c r="UHH106" s="68"/>
      <c r="UHI106" s="1"/>
      <c r="UHJ106" s="73"/>
      <c r="UHK106" s="74"/>
      <c r="UHM106" s="75"/>
      <c r="UHP106" s="75"/>
      <c r="UHQ106" s="72"/>
      <c r="UHR106" s="68"/>
      <c r="UHS106" s="1"/>
      <c r="UHT106" s="73"/>
      <c r="UHU106" s="74"/>
      <c r="UHW106" s="75"/>
      <c r="UHZ106" s="75"/>
      <c r="UIA106" s="72"/>
      <c r="UIB106" s="68"/>
      <c r="UIC106" s="1"/>
      <c r="UID106" s="73"/>
      <c r="UIE106" s="74"/>
      <c r="UIG106" s="75"/>
      <c r="UIJ106" s="75"/>
      <c r="UIK106" s="72"/>
      <c r="UIL106" s="68"/>
      <c r="UIM106" s="1"/>
      <c r="UIN106" s="73"/>
      <c r="UIO106" s="74"/>
      <c r="UIQ106" s="75"/>
      <c r="UIT106" s="75"/>
      <c r="UIU106" s="72"/>
      <c r="UIV106" s="68"/>
      <c r="UIW106" s="1"/>
      <c r="UIX106" s="73"/>
      <c r="UIY106" s="74"/>
      <c r="UJA106" s="75"/>
      <c r="UJD106" s="75"/>
      <c r="UJE106" s="72"/>
      <c r="UJF106" s="68"/>
      <c r="UJG106" s="1"/>
      <c r="UJH106" s="73"/>
      <c r="UJI106" s="74"/>
      <c r="UJK106" s="75"/>
      <c r="UJN106" s="75"/>
      <c r="UJO106" s="72"/>
      <c r="UJP106" s="68"/>
      <c r="UJQ106" s="1"/>
      <c r="UJR106" s="73"/>
      <c r="UJS106" s="74"/>
      <c r="UJU106" s="75"/>
      <c r="UJX106" s="75"/>
      <c r="UJY106" s="72"/>
      <c r="UJZ106" s="68"/>
      <c r="UKA106" s="1"/>
      <c r="UKB106" s="73"/>
      <c r="UKC106" s="74"/>
      <c r="UKE106" s="75"/>
      <c r="UKH106" s="75"/>
      <c r="UKI106" s="72"/>
      <c r="UKJ106" s="68"/>
      <c r="UKK106" s="1"/>
      <c r="UKL106" s="73"/>
      <c r="UKM106" s="74"/>
      <c r="UKO106" s="75"/>
      <c r="UKR106" s="75"/>
      <c r="UKS106" s="72"/>
      <c r="UKT106" s="68"/>
      <c r="UKU106" s="1"/>
      <c r="UKV106" s="73"/>
      <c r="UKW106" s="74"/>
      <c r="UKY106" s="75"/>
      <c r="ULB106" s="75"/>
      <c r="ULC106" s="72"/>
      <c r="ULD106" s="68"/>
      <c r="ULE106" s="1"/>
      <c r="ULF106" s="73"/>
      <c r="ULG106" s="74"/>
      <c r="ULI106" s="75"/>
      <c r="ULL106" s="75"/>
      <c r="ULM106" s="72"/>
      <c r="ULN106" s="68"/>
      <c r="ULO106" s="1"/>
      <c r="ULP106" s="73"/>
      <c r="ULQ106" s="74"/>
      <c r="ULS106" s="75"/>
      <c r="ULV106" s="75"/>
      <c r="ULW106" s="72"/>
      <c r="ULX106" s="68"/>
      <c r="ULY106" s="1"/>
      <c r="ULZ106" s="73"/>
      <c r="UMA106" s="74"/>
      <c r="UMC106" s="75"/>
      <c r="UMF106" s="75"/>
      <c r="UMG106" s="72"/>
      <c r="UMH106" s="68"/>
      <c r="UMI106" s="1"/>
      <c r="UMJ106" s="73"/>
      <c r="UMK106" s="74"/>
      <c r="UMM106" s="75"/>
      <c r="UMP106" s="75"/>
      <c r="UMQ106" s="72"/>
      <c r="UMR106" s="68"/>
      <c r="UMS106" s="1"/>
      <c r="UMT106" s="73"/>
      <c r="UMU106" s="74"/>
      <c r="UMW106" s="75"/>
      <c r="UMZ106" s="75"/>
      <c r="UNA106" s="72"/>
      <c r="UNB106" s="68"/>
      <c r="UNC106" s="1"/>
      <c r="UND106" s="73"/>
      <c r="UNE106" s="74"/>
      <c r="UNG106" s="75"/>
      <c r="UNJ106" s="75"/>
      <c r="UNK106" s="72"/>
      <c r="UNL106" s="68"/>
      <c r="UNM106" s="1"/>
      <c r="UNN106" s="73"/>
      <c r="UNO106" s="74"/>
      <c r="UNQ106" s="75"/>
      <c r="UNT106" s="75"/>
      <c r="UNU106" s="72"/>
      <c r="UNV106" s="68"/>
      <c r="UNW106" s="1"/>
      <c r="UNX106" s="73"/>
      <c r="UNY106" s="74"/>
      <c r="UOA106" s="75"/>
      <c r="UOD106" s="75"/>
      <c r="UOE106" s="72"/>
      <c r="UOF106" s="68"/>
      <c r="UOG106" s="1"/>
      <c r="UOH106" s="73"/>
      <c r="UOI106" s="74"/>
      <c r="UOK106" s="75"/>
      <c r="UON106" s="75"/>
      <c r="UOO106" s="72"/>
      <c r="UOP106" s="68"/>
      <c r="UOQ106" s="1"/>
      <c r="UOR106" s="73"/>
      <c r="UOS106" s="74"/>
      <c r="UOU106" s="75"/>
      <c r="UOX106" s="75"/>
      <c r="UOY106" s="72"/>
      <c r="UOZ106" s="68"/>
      <c r="UPA106" s="1"/>
      <c r="UPB106" s="73"/>
      <c r="UPC106" s="74"/>
      <c r="UPE106" s="75"/>
      <c r="UPH106" s="75"/>
      <c r="UPI106" s="72"/>
      <c r="UPJ106" s="68"/>
      <c r="UPK106" s="1"/>
      <c r="UPL106" s="73"/>
      <c r="UPM106" s="74"/>
      <c r="UPO106" s="75"/>
      <c r="UPR106" s="75"/>
      <c r="UPS106" s="72"/>
      <c r="UPT106" s="68"/>
      <c r="UPU106" s="1"/>
      <c r="UPV106" s="73"/>
      <c r="UPW106" s="74"/>
      <c r="UPY106" s="75"/>
      <c r="UQB106" s="75"/>
      <c r="UQC106" s="72"/>
      <c r="UQD106" s="68"/>
      <c r="UQE106" s="1"/>
      <c r="UQF106" s="73"/>
      <c r="UQG106" s="74"/>
      <c r="UQI106" s="75"/>
      <c r="UQL106" s="75"/>
      <c r="UQM106" s="72"/>
      <c r="UQN106" s="68"/>
      <c r="UQO106" s="1"/>
      <c r="UQP106" s="73"/>
      <c r="UQQ106" s="74"/>
      <c r="UQS106" s="75"/>
      <c r="UQV106" s="75"/>
      <c r="UQW106" s="72"/>
      <c r="UQX106" s="68"/>
      <c r="UQY106" s="1"/>
      <c r="UQZ106" s="73"/>
      <c r="URA106" s="74"/>
      <c r="URC106" s="75"/>
      <c r="URF106" s="75"/>
      <c r="URG106" s="72"/>
      <c r="URH106" s="68"/>
      <c r="URI106" s="1"/>
      <c r="URJ106" s="73"/>
      <c r="URK106" s="74"/>
      <c r="URM106" s="75"/>
      <c r="URP106" s="75"/>
      <c r="URQ106" s="72"/>
      <c r="URR106" s="68"/>
      <c r="URS106" s="1"/>
      <c r="URT106" s="73"/>
      <c r="URU106" s="74"/>
      <c r="URW106" s="75"/>
      <c r="URZ106" s="75"/>
      <c r="USA106" s="72"/>
      <c r="USB106" s="68"/>
      <c r="USC106" s="1"/>
      <c r="USD106" s="73"/>
      <c r="USE106" s="74"/>
      <c r="USG106" s="75"/>
      <c r="USJ106" s="75"/>
      <c r="USK106" s="72"/>
      <c r="USL106" s="68"/>
      <c r="USM106" s="1"/>
      <c r="USN106" s="73"/>
      <c r="USO106" s="74"/>
      <c r="USQ106" s="75"/>
      <c r="UST106" s="75"/>
      <c r="USU106" s="72"/>
      <c r="USV106" s="68"/>
      <c r="USW106" s="1"/>
      <c r="USX106" s="73"/>
      <c r="USY106" s="74"/>
      <c r="UTA106" s="75"/>
      <c r="UTD106" s="75"/>
      <c r="UTE106" s="72"/>
      <c r="UTF106" s="68"/>
      <c r="UTG106" s="1"/>
      <c r="UTH106" s="73"/>
      <c r="UTI106" s="74"/>
      <c r="UTK106" s="75"/>
      <c r="UTN106" s="75"/>
      <c r="UTO106" s="72"/>
      <c r="UTP106" s="68"/>
      <c r="UTQ106" s="1"/>
      <c r="UTR106" s="73"/>
      <c r="UTS106" s="74"/>
      <c r="UTU106" s="75"/>
      <c r="UTX106" s="75"/>
      <c r="UTY106" s="72"/>
      <c r="UTZ106" s="68"/>
      <c r="UUA106" s="1"/>
      <c r="UUB106" s="73"/>
      <c r="UUC106" s="74"/>
      <c r="UUE106" s="75"/>
      <c r="UUH106" s="75"/>
      <c r="UUI106" s="72"/>
      <c r="UUJ106" s="68"/>
      <c r="UUK106" s="1"/>
      <c r="UUL106" s="73"/>
      <c r="UUM106" s="74"/>
      <c r="UUO106" s="75"/>
      <c r="UUR106" s="75"/>
      <c r="UUS106" s="72"/>
      <c r="UUT106" s="68"/>
      <c r="UUU106" s="1"/>
      <c r="UUV106" s="73"/>
      <c r="UUW106" s="74"/>
      <c r="UUY106" s="75"/>
      <c r="UVB106" s="75"/>
      <c r="UVC106" s="72"/>
      <c r="UVD106" s="68"/>
      <c r="UVE106" s="1"/>
      <c r="UVF106" s="73"/>
      <c r="UVG106" s="74"/>
      <c r="UVI106" s="75"/>
      <c r="UVL106" s="75"/>
      <c r="UVM106" s="72"/>
      <c r="UVN106" s="68"/>
      <c r="UVO106" s="1"/>
      <c r="UVP106" s="73"/>
      <c r="UVQ106" s="74"/>
      <c r="UVS106" s="75"/>
      <c r="UVV106" s="75"/>
      <c r="UVW106" s="72"/>
      <c r="UVX106" s="68"/>
      <c r="UVY106" s="1"/>
      <c r="UVZ106" s="73"/>
      <c r="UWA106" s="74"/>
      <c r="UWC106" s="75"/>
      <c r="UWF106" s="75"/>
      <c r="UWG106" s="72"/>
      <c r="UWH106" s="68"/>
      <c r="UWI106" s="1"/>
      <c r="UWJ106" s="73"/>
      <c r="UWK106" s="74"/>
      <c r="UWM106" s="75"/>
      <c r="UWP106" s="75"/>
      <c r="UWQ106" s="72"/>
      <c r="UWR106" s="68"/>
      <c r="UWS106" s="1"/>
      <c r="UWT106" s="73"/>
      <c r="UWU106" s="74"/>
      <c r="UWW106" s="75"/>
      <c r="UWZ106" s="75"/>
      <c r="UXA106" s="72"/>
      <c r="UXB106" s="68"/>
      <c r="UXC106" s="1"/>
      <c r="UXD106" s="73"/>
      <c r="UXE106" s="74"/>
      <c r="UXG106" s="75"/>
      <c r="UXJ106" s="75"/>
      <c r="UXK106" s="72"/>
      <c r="UXL106" s="68"/>
      <c r="UXM106" s="1"/>
      <c r="UXN106" s="73"/>
      <c r="UXO106" s="74"/>
      <c r="UXQ106" s="75"/>
      <c r="UXT106" s="75"/>
      <c r="UXU106" s="72"/>
      <c r="UXV106" s="68"/>
      <c r="UXW106" s="1"/>
      <c r="UXX106" s="73"/>
      <c r="UXY106" s="74"/>
      <c r="UYA106" s="75"/>
      <c r="UYD106" s="75"/>
      <c r="UYE106" s="72"/>
      <c r="UYF106" s="68"/>
      <c r="UYG106" s="1"/>
      <c r="UYH106" s="73"/>
      <c r="UYI106" s="74"/>
      <c r="UYK106" s="75"/>
      <c r="UYN106" s="75"/>
      <c r="UYO106" s="72"/>
      <c r="UYP106" s="68"/>
      <c r="UYQ106" s="1"/>
      <c r="UYR106" s="73"/>
      <c r="UYS106" s="74"/>
      <c r="UYU106" s="75"/>
      <c r="UYX106" s="75"/>
      <c r="UYY106" s="72"/>
      <c r="UYZ106" s="68"/>
      <c r="UZA106" s="1"/>
      <c r="UZB106" s="73"/>
      <c r="UZC106" s="74"/>
      <c r="UZE106" s="75"/>
      <c r="UZH106" s="75"/>
      <c r="UZI106" s="72"/>
      <c r="UZJ106" s="68"/>
      <c r="UZK106" s="1"/>
      <c r="UZL106" s="73"/>
      <c r="UZM106" s="74"/>
      <c r="UZO106" s="75"/>
      <c r="UZR106" s="75"/>
      <c r="UZS106" s="72"/>
      <c r="UZT106" s="68"/>
      <c r="UZU106" s="1"/>
      <c r="UZV106" s="73"/>
      <c r="UZW106" s="74"/>
      <c r="UZY106" s="75"/>
      <c r="VAB106" s="75"/>
      <c r="VAC106" s="72"/>
      <c r="VAD106" s="68"/>
      <c r="VAE106" s="1"/>
      <c r="VAF106" s="73"/>
      <c r="VAG106" s="74"/>
      <c r="VAI106" s="75"/>
      <c r="VAL106" s="75"/>
      <c r="VAM106" s="72"/>
      <c r="VAN106" s="68"/>
      <c r="VAO106" s="1"/>
      <c r="VAP106" s="73"/>
      <c r="VAQ106" s="74"/>
      <c r="VAS106" s="75"/>
      <c r="VAV106" s="75"/>
      <c r="VAW106" s="72"/>
      <c r="VAX106" s="68"/>
      <c r="VAY106" s="1"/>
      <c r="VAZ106" s="73"/>
      <c r="VBA106" s="74"/>
      <c r="VBC106" s="75"/>
      <c r="VBF106" s="75"/>
      <c r="VBG106" s="72"/>
      <c r="VBH106" s="68"/>
      <c r="VBI106" s="1"/>
      <c r="VBJ106" s="73"/>
      <c r="VBK106" s="74"/>
      <c r="VBM106" s="75"/>
      <c r="VBP106" s="75"/>
      <c r="VBQ106" s="72"/>
      <c r="VBR106" s="68"/>
      <c r="VBS106" s="1"/>
      <c r="VBT106" s="73"/>
      <c r="VBU106" s="74"/>
      <c r="VBW106" s="75"/>
      <c r="VBZ106" s="75"/>
      <c r="VCA106" s="72"/>
      <c r="VCB106" s="68"/>
      <c r="VCC106" s="1"/>
      <c r="VCD106" s="73"/>
      <c r="VCE106" s="74"/>
      <c r="VCG106" s="75"/>
      <c r="VCJ106" s="75"/>
      <c r="VCK106" s="72"/>
      <c r="VCL106" s="68"/>
      <c r="VCM106" s="1"/>
      <c r="VCN106" s="73"/>
      <c r="VCO106" s="74"/>
      <c r="VCQ106" s="75"/>
      <c r="VCT106" s="75"/>
      <c r="VCU106" s="72"/>
      <c r="VCV106" s="68"/>
      <c r="VCW106" s="1"/>
      <c r="VCX106" s="73"/>
      <c r="VCY106" s="74"/>
      <c r="VDA106" s="75"/>
      <c r="VDD106" s="75"/>
      <c r="VDE106" s="72"/>
      <c r="VDF106" s="68"/>
      <c r="VDG106" s="1"/>
      <c r="VDH106" s="73"/>
      <c r="VDI106" s="74"/>
      <c r="VDK106" s="75"/>
      <c r="VDN106" s="75"/>
      <c r="VDO106" s="72"/>
      <c r="VDP106" s="68"/>
      <c r="VDQ106" s="1"/>
      <c r="VDR106" s="73"/>
      <c r="VDS106" s="74"/>
      <c r="VDU106" s="75"/>
      <c r="VDX106" s="75"/>
      <c r="VDY106" s="72"/>
      <c r="VDZ106" s="68"/>
      <c r="VEA106" s="1"/>
      <c r="VEB106" s="73"/>
      <c r="VEC106" s="74"/>
      <c r="VEE106" s="75"/>
      <c r="VEH106" s="75"/>
      <c r="VEI106" s="72"/>
      <c r="VEJ106" s="68"/>
      <c r="VEK106" s="1"/>
      <c r="VEL106" s="73"/>
      <c r="VEM106" s="74"/>
      <c r="VEO106" s="75"/>
      <c r="VER106" s="75"/>
      <c r="VES106" s="72"/>
      <c r="VET106" s="68"/>
      <c r="VEU106" s="1"/>
      <c r="VEV106" s="73"/>
      <c r="VEW106" s="74"/>
      <c r="VEY106" s="75"/>
      <c r="VFB106" s="75"/>
      <c r="VFC106" s="72"/>
      <c r="VFD106" s="68"/>
      <c r="VFE106" s="1"/>
      <c r="VFF106" s="73"/>
      <c r="VFG106" s="74"/>
      <c r="VFI106" s="75"/>
      <c r="VFL106" s="75"/>
      <c r="VFM106" s="72"/>
      <c r="VFN106" s="68"/>
      <c r="VFO106" s="1"/>
      <c r="VFP106" s="73"/>
      <c r="VFQ106" s="74"/>
      <c r="VFS106" s="75"/>
      <c r="VFV106" s="75"/>
      <c r="VFW106" s="72"/>
      <c r="VFX106" s="68"/>
      <c r="VFY106" s="1"/>
      <c r="VFZ106" s="73"/>
      <c r="VGA106" s="74"/>
      <c r="VGC106" s="75"/>
      <c r="VGF106" s="75"/>
      <c r="VGG106" s="72"/>
      <c r="VGH106" s="68"/>
      <c r="VGI106" s="1"/>
      <c r="VGJ106" s="73"/>
      <c r="VGK106" s="74"/>
      <c r="VGM106" s="75"/>
      <c r="VGP106" s="75"/>
      <c r="VGQ106" s="72"/>
      <c r="VGR106" s="68"/>
      <c r="VGS106" s="1"/>
      <c r="VGT106" s="73"/>
      <c r="VGU106" s="74"/>
      <c r="VGW106" s="75"/>
      <c r="VGZ106" s="75"/>
      <c r="VHA106" s="72"/>
      <c r="VHB106" s="68"/>
      <c r="VHC106" s="1"/>
      <c r="VHD106" s="73"/>
      <c r="VHE106" s="74"/>
      <c r="VHG106" s="75"/>
      <c r="VHJ106" s="75"/>
      <c r="VHK106" s="72"/>
      <c r="VHL106" s="68"/>
      <c r="VHM106" s="1"/>
      <c r="VHN106" s="73"/>
      <c r="VHO106" s="74"/>
      <c r="VHQ106" s="75"/>
      <c r="VHT106" s="75"/>
      <c r="VHU106" s="72"/>
      <c r="VHV106" s="68"/>
      <c r="VHW106" s="1"/>
      <c r="VHX106" s="73"/>
      <c r="VHY106" s="74"/>
      <c r="VIA106" s="75"/>
      <c r="VID106" s="75"/>
      <c r="VIE106" s="72"/>
      <c r="VIF106" s="68"/>
      <c r="VIG106" s="1"/>
      <c r="VIH106" s="73"/>
      <c r="VII106" s="74"/>
      <c r="VIK106" s="75"/>
      <c r="VIN106" s="75"/>
      <c r="VIO106" s="72"/>
      <c r="VIP106" s="68"/>
      <c r="VIQ106" s="1"/>
      <c r="VIR106" s="73"/>
      <c r="VIS106" s="74"/>
      <c r="VIU106" s="75"/>
      <c r="VIX106" s="75"/>
      <c r="VIY106" s="72"/>
      <c r="VIZ106" s="68"/>
      <c r="VJA106" s="1"/>
      <c r="VJB106" s="73"/>
      <c r="VJC106" s="74"/>
      <c r="VJE106" s="75"/>
      <c r="VJH106" s="75"/>
      <c r="VJI106" s="72"/>
      <c r="VJJ106" s="68"/>
      <c r="VJK106" s="1"/>
      <c r="VJL106" s="73"/>
      <c r="VJM106" s="74"/>
      <c r="VJO106" s="75"/>
      <c r="VJR106" s="75"/>
      <c r="VJS106" s="72"/>
      <c r="VJT106" s="68"/>
      <c r="VJU106" s="1"/>
      <c r="VJV106" s="73"/>
      <c r="VJW106" s="74"/>
      <c r="VJY106" s="75"/>
      <c r="VKB106" s="75"/>
      <c r="VKC106" s="72"/>
      <c r="VKD106" s="68"/>
      <c r="VKE106" s="1"/>
      <c r="VKF106" s="73"/>
      <c r="VKG106" s="74"/>
      <c r="VKI106" s="75"/>
      <c r="VKL106" s="75"/>
      <c r="VKM106" s="72"/>
      <c r="VKN106" s="68"/>
      <c r="VKO106" s="1"/>
      <c r="VKP106" s="73"/>
      <c r="VKQ106" s="74"/>
      <c r="VKS106" s="75"/>
      <c r="VKV106" s="75"/>
      <c r="VKW106" s="72"/>
      <c r="VKX106" s="68"/>
      <c r="VKY106" s="1"/>
      <c r="VKZ106" s="73"/>
      <c r="VLA106" s="74"/>
      <c r="VLC106" s="75"/>
      <c r="VLF106" s="75"/>
      <c r="VLG106" s="72"/>
      <c r="VLH106" s="68"/>
      <c r="VLI106" s="1"/>
      <c r="VLJ106" s="73"/>
      <c r="VLK106" s="74"/>
      <c r="VLM106" s="75"/>
      <c r="VLP106" s="75"/>
      <c r="VLQ106" s="72"/>
      <c r="VLR106" s="68"/>
      <c r="VLS106" s="1"/>
      <c r="VLT106" s="73"/>
      <c r="VLU106" s="74"/>
      <c r="VLW106" s="75"/>
      <c r="VLZ106" s="75"/>
      <c r="VMA106" s="72"/>
      <c r="VMB106" s="68"/>
      <c r="VMC106" s="1"/>
      <c r="VMD106" s="73"/>
      <c r="VME106" s="74"/>
      <c r="VMG106" s="75"/>
      <c r="VMJ106" s="75"/>
      <c r="VMK106" s="72"/>
      <c r="VML106" s="68"/>
      <c r="VMM106" s="1"/>
      <c r="VMN106" s="73"/>
      <c r="VMO106" s="74"/>
      <c r="VMQ106" s="75"/>
      <c r="VMT106" s="75"/>
      <c r="VMU106" s="72"/>
      <c r="VMV106" s="68"/>
      <c r="VMW106" s="1"/>
      <c r="VMX106" s="73"/>
      <c r="VMY106" s="74"/>
      <c r="VNA106" s="75"/>
      <c r="VND106" s="75"/>
      <c r="VNE106" s="72"/>
      <c r="VNF106" s="68"/>
      <c r="VNG106" s="1"/>
      <c r="VNH106" s="73"/>
      <c r="VNI106" s="74"/>
      <c r="VNK106" s="75"/>
      <c r="VNN106" s="75"/>
      <c r="VNO106" s="72"/>
      <c r="VNP106" s="68"/>
      <c r="VNQ106" s="1"/>
      <c r="VNR106" s="73"/>
      <c r="VNS106" s="74"/>
      <c r="VNU106" s="75"/>
      <c r="VNX106" s="75"/>
      <c r="VNY106" s="72"/>
      <c r="VNZ106" s="68"/>
      <c r="VOA106" s="1"/>
      <c r="VOB106" s="73"/>
      <c r="VOC106" s="74"/>
      <c r="VOE106" s="75"/>
      <c r="VOH106" s="75"/>
      <c r="VOI106" s="72"/>
      <c r="VOJ106" s="68"/>
      <c r="VOK106" s="1"/>
      <c r="VOL106" s="73"/>
      <c r="VOM106" s="74"/>
      <c r="VOO106" s="75"/>
      <c r="VOR106" s="75"/>
      <c r="VOS106" s="72"/>
      <c r="VOT106" s="68"/>
      <c r="VOU106" s="1"/>
      <c r="VOV106" s="73"/>
      <c r="VOW106" s="74"/>
      <c r="VOY106" s="75"/>
      <c r="VPB106" s="75"/>
      <c r="VPC106" s="72"/>
      <c r="VPD106" s="68"/>
      <c r="VPE106" s="1"/>
      <c r="VPF106" s="73"/>
      <c r="VPG106" s="74"/>
      <c r="VPI106" s="75"/>
      <c r="VPL106" s="75"/>
      <c r="VPM106" s="72"/>
      <c r="VPN106" s="68"/>
      <c r="VPO106" s="1"/>
      <c r="VPP106" s="73"/>
      <c r="VPQ106" s="74"/>
      <c r="VPS106" s="75"/>
      <c r="VPV106" s="75"/>
      <c r="VPW106" s="72"/>
      <c r="VPX106" s="68"/>
      <c r="VPY106" s="1"/>
      <c r="VPZ106" s="73"/>
      <c r="VQA106" s="74"/>
      <c r="VQC106" s="75"/>
      <c r="VQF106" s="75"/>
      <c r="VQG106" s="72"/>
      <c r="VQH106" s="68"/>
      <c r="VQI106" s="1"/>
      <c r="VQJ106" s="73"/>
      <c r="VQK106" s="74"/>
      <c r="VQM106" s="75"/>
      <c r="VQP106" s="75"/>
      <c r="VQQ106" s="72"/>
      <c r="VQR106" s="68"/>
      <c r="VQS106" s="1"/>
      <c r="VQT106" s="73"/>
      <c r="VQU106" s="74"/>
      <c r="VQW106" s="75"/>
      <c r="VQZ106" s="75"/>
      <c r="VRA106" s="72"/>
      <c r="VRB106" s="68"/>
      <c r="VRC106" s="1"/>
      <c r="VRD106" s="73"/>
      <c r="VRE106" s="74"/>
      <c r="VRG106" s="75"/>
      <c r="VRJ106" s="75"/>
      <c r="VRK106" s="72"/>
      <c r="VRL106" s="68"/>
      <c r="VRM106" s="1"/>
      <c r="VRN106" s="73"/>
      <c r="VRO106" s="74"/>
      <c r="VRQ106" s="75"/>
      <c r="VRT106" s="75"/>
      <c r="VRU106" s="72"/>
      <c r="VRV106" s="68"/>
      <c r="VRW106" s="1"/>
      <c r="VRX106" s="73"/>
      <c r="VRY106" s="74"/>
      <c r="VSA106" s="75"/>
      <c r="VSD106" s="75"/>
      <c r="VSE106" s="72"/>
      <c r="VSF106" s="68"/>
      <c r="VSG106" s="1"/>
      <c r="VSH106" s="73"/>
      <c r="VSI106" s="74"/>
      <c r="VSK106" s="75"/>
      <c r="VSN106" s="75"/>
      <c r="VSO106" s="72"/>
      <c r="VSP106" s="68"/>
      <c r="VSQ106" s="1"/>
      <c r="VSR106" s="73"/>
      <c r="VSS106" s="74"/>
      <c r="VSU106" s="75"/>
      <c r="VSX106" s="75"/>
      <c r="VSY106" s="72"/>
      <c r="VSZ106" s="68"/>
      <c r="VTA106" s="1"/>
      <c r="VTB106" s="73"/>
      <c r="VTC106" s="74"/>
      <c r="VTE106" s="75"/>
      <c r="VTH106" s="75"/>
      <c r="VTI106" s="72"/>
      <c r="VTJ106" s="68"/>
      <c r="VTK106" s="1"/>
      <c r="VTL106" s="73"/>
      <c r="VTM106" s="74"/>
      <c r="VTO106" s="75"/>
      <c r="VTR106" s="75"/>
      <c r="VTS106" s="72"/>
      <c r="VTT106" s="68"/>
      <c r="VTU106" s="1"/>
      <c r="VTV106" s="73"/>
      <c r="VTW106" s="74"/>
      <c r="VTY106" s="75"/>
      <c r="VUB106" s="75"/>
      <c r="VUC106" s="72"/>
      <c r="VUD106" s="68"/>
      <c r="VUE106" s="1"/>
      <c r="VUF106" s="73"/>
      <c r="VUG106" s="74"/>
      <c r="VUI106" s="75"/>
      <c r="VUL106" s="75"/>
      <c r="VUM106" s="72"/>
      <c r="VUN106" s="68"/>
      <c r="VUO106" s="1"/>
      <c r="VUP106" s="73"/>
      <c r="VUQ106" s="74"/>
      <c r="VUS106" s="75"/>
      <c r="VUV106" s="75"/>
      <c r="VUW106" s="72"/>
      <c r="VUX106" s="68"/>
      <c r="VUY106" s="1"/>
      <c r="VUZ106" s="73"/>
      <c r="VVA106" s="74"/>
      <c r="VVC106" s="75"/>
      <c r="VVF106" s="75"/>
      <c r="VVG106" s="72"/>
      <c r="VVH106" s="68"/>
      <c r="VVI106" s="1"/>
      <c r="VVJ106" s="73"/>
      <c r="VVK106" s="74"/>
      <c r="VVM106" s="75"/>
      <c r="VVP106" s="75"/>
      <c r="VVQ106" s="72"/>
      <c r="VVR106" s="68"/>
      <c r="VVS106" s="1"/>
      <c r="VVT106" s="73"/>
      <c r="VVU106" s="74"/>
      <c r="VVW106" s="75"/>
      <c r="VVZ106" s="75"/>
      <c r="VWA106" s="72"/>
      <c r="VWB106" s="68"/>
      <c r="VWC106" s="1"/>
      <c r="VWD106" s="73"/>
      <c r="VWE106" s="74"/>
      <c r="VWG106" s="75"/>
      <c r="VWJ106" s="75"/>
      <c r="VWK106" s="72"/>
      <c r="VWL106" s="68"/>
      <c r="VWM106" s="1"/>
      <c r="VWN106" s="73"/>
      <c r="VWO106" s="74"/>
      <c r="VWQ106" s="75"/>
      <c r="VWT106" s="75"/>
      <c r="VWU106" s="72"/>
      <c r="VWV106" s="68"/>
      <c r="VWW106" s="1"/>
      <c r="VWX106" s="73"/>
      <c r="VWY106" s="74"/>
      <c r="VXA106" s="75"/>
      <c r="VXD106" s="75"/>
      <c r="VXE106" s="72"/>
      <c r="VXF106" s="68"/>
      <c r="VXG106" s="1"/>
      <c r="VXH106" s="73"/>
      <c r="VXI106" s="74"/>
      <c r="VXK106" s="75"/>
      <c r="VXN106" s="75"/>
      <c r="VXO106" s="72"/>
      <c r="VXP106" s="68"/>
      <c r="VXQ106" s="1"/>
      <c r="VXR106" s="73"/>
      <c r="VXS106" s="74"/>
      <c r="VXU106" s="75"/>
      <c r="VXX106" s="75"/>
      <c r="VXY106" s="72"/>
      <c r="VXZ106" s="68"/>
      <c r="VYA106" s="1"/>
      <c r="VYB106" s="73"/>
      <c r="VYC106" s="74"/>
      <c r="VYE106" s="75"/>
      <c r="VYH106" s="75"/>
      <c r="VYI106" s="72"/>
      <c r="VYJ106" s="68"/>
      <c r="VYK106" s="1"/>
      <c r="VYL106" s="73"/>
      <c r="VYM106" s="74"/>
      <c r="VYO106" s="75"/>
      <c r="VYR106" s="75"/>
      <c r="VYS106" s="72"/>
      <c r="VYT106" s="68"/>
      <c r="VYU106" s="1"/>
      <c r="VYV106" s="73"/>
      <c r="VYW106" s="74"/>
      <c r="VYY106" s="75"/>
      <c r="VZB106" s="75"/>
      <c r="VZC106" s="72"/>
      <c r="VZD106" s="68"/>
      <c r="VZE106" s="1"/>
      <c r="VZF106" s="73"/>
      <c r="VZG106" s="74"/>
      <c r="VZI106" s="75"/>
      <c r="VZL106" s="75"/>
      <c r="VZM106" s="72"/>
      <c r="VZN106" s="68"/>
      <c r="VZO106" s="1"/>
      <c r="VZP106" s="73"/>
      <c r="VZQ106" s="74"/>
      <c r="VZS106" s="75"/>
      <c r="VZV106" s="75"/>
      <c r="VZW106" s="72"/>
      <c r="VZX106" s="68"/>
      <c r="VZY106" s="1"/>
      <c r="VZZ106" s="73"/>
      <c r="WAA106" s="74"/>
      <c r="WAC106" s="75"/>
      <c r="WAF106" s="75"/>
      <c r="WAG106" s="72"/>
      <c r="WAH106" s="68"/>
      <c r="WAI106" s="1"/>
      <c r="WAJ106" s="73"/>
      <c r="WAK106" s="74"/>
      <c r="WAM106" s="75"/>
      <c r="WAP106" s="75"/>
      <c r="WAQ106" s="72"/>
      <c r="WAR106" s="68"/>
      <c r="WAS106" s="1"/>
      <c r="WAT106" s="73"/>
      <c r="WAU106" s="74"/>
      <c r="WAW106" s="75"/>
      <c r="WAZ106" s="75"/>
      <c r="WBA106" s="72"/>
      <c r="WBB106" s="68"/>
      <c r="WBC106" s="1"/>
      <c r="WBD106" s="73"/>
      <c r="WBE106" s="74"/>
      <c r="WBG106" s="75"/>
      <c r="WBJ106" s="75"/>
      <c r="WBK106" s="72"/>
      <c r="WBL106" s="68"/>
      <c r="WBM106" s="1"/>
      <c r="WBN106" s="73"/>
      <c r="WBO106" s="74"/>
      <c r="WBQ106" s="75"/>
      <c r="WBT106" s="75"/>
      <c r="WBU106" s="72"/>
      <c r="WBV106" s="68"/>
      <c r="WBW106" s="1"/>
      <c r="WBX106" s="73"/>
      <c r="WBY106" s="74"/>
      <c r="WCA106" s="75"/>
      <c r="WCD106" s="75"/>
      <c r="WCE106" s="72"/>
      <c r="WCF106" s="68"/>
      <c r="WCG106" s="1"/>
      <c r="WCH106" s="73"/>
      <c r="WCI106" s="74"/>
      <c r="WCK106" s="75"/>
      <c r="WCN106" s="75"/>
      <c r="WCO106" s="72"/>
      <c r="WCP106" s="68"/>
      <c r="WCQ106" s="1"/>
      <c r="WCR106" s="73"/>
      <c r="WCS106" s="74"/>
      <c r="WCU106" s="75"/>
      <c r="WCX106" s="75"/>
      <c r="WCY106" s="72"/>
      <c r="WCZ106" s="68"/>
      <c r="WDA106" s="1"/>
      <c r="WDB106" s="73"/>
      <c r="WDC106" s="74"/>
      <c r="WDE106" s="75"/>
      <c r="WDH106" s="75"/>
      <c r="WDI106" s="72"/>
      <c r="WDJ106" s="68"/>
      <c r="WDK106" s="1"/>
      <c r="WDL106" s="73"/>
      <c r="WDM106" s="74"/>
      <c r="WDO106" s="75"/>
      <c r="WDR106" s="75"/>
      <c r="WDS106" s="72"/>
      <c r="WDT106" s="68"/>
      <c r="WDU106" s="1"/>
      <c r="WDV106" s="73"/>
      <c r="WDW106" s="74"/>
      <c r="WDY106" s="75"/>
      <c r="WEB106" s="75"/>
      <c r="WEC106" s="72"/>
      <c r="WED106" s="68"/>
      <c r="WEE106" s="1"/>
      <c r="WEF106" s="73"/>
      <c r="WEG106" s="74"/>
      <c r="WEI106" s="75"/>
      <c r="WEL106" s="75"/>
      <c r="WEM106" s="72"/>
      <c r="WEN106" s="68"/>
      <c r="WEO106" s="1"/>
      <c r="WEP106" s="73"/>
      <c r="WEQ106" s="74"/>
      <c r="WES106" s="75"/>
      <c r="WEV106" s="75"/>
      <c r="WEW106" s="72"/>
      <c r="WEX106" s="68"/>
      <c r="WEY106" s="1"/>
      <c r="WEZ106" s="73"/>
      <c r="WFA106" s="74"/>
      <c r="WFC106" s="75"/>
      <c r="WFF106" s="75"/>
      <c r="WFG106" s="72"/>
      <c r="WFH106" s="68"/>
      <c r="WFI106" s="1"/>
      <c r="WFJ106" s="73"/>
      <c r="WFK106" s="74"/>
      <c r="WFM106" s="75"/>
      <c r="WFP106" s="75"/>
      <c r="WFQ106" s="72"/>
      <c r="WFR106" s="68"/>
      <c r="WFS106" s="1"/>
      <c r="WFT106" s="73"/>
      <c r="WFU106" s="74"/>
      <c r="WFW106" s="75"/>
      <c r="WFZ106" s="75"/>
      <c r="WGA106" s="72"/>
      <c r="WGB106" s="68"/>
      <c r="WGC106" s="1"/>
      <c r="WGD106" s="73"/>
      <c r="WGE106" s="74"/>
      <c r="WGG106" s="75"/>
      <c r="WGJ106" s="75"/>
      <c r="WGK106" s="72"/>
      <c r="WGL106" s="68"/>
      <c r="WGM106" s="1"/>
      <c r="WGN106" s="73"/>
      <c r="WGO106" s="74"/>
      <c r="WGQ106" s="75"/>
      <c r="WGT106" s="75"/>
      <c r="WGU106" s="72"/>
      <c r="WGV106" s="68"/>
      <c r="WGW106" s="1"/>
      <c r="WGX106" s="73"/>
      <c r="WGY106" s="74"/>
      <c r="WHA106" s="75"/>
      <c r="WHD106" s="75"/>
      <c r="WHE106" s="72"/>
      <c r="WHF106" s="68"/>
      <c r="WHG106" s="1"/>
      <c r="WHH106" s="73"/>
      <c r="WHI106" s="74"/>
      <c r="WHK106" s="75"/>
      <c r="WHN106" s="75"/>
      <c r="WHO106" s="72"/>
      <c r="WHP106" s="68"/>
      <c r="WHQ106" s="1"/>
      <c r="WHR106" s="73"/>
      <c r="WHS106" s="74"/>
      <c r="WHU106" s="75"/>
      <c r="WHX106" s="75"/>
      <c r="WHY106" s="72"/>
      <c r="WHZ106" s="68"/>
      <c r="WIA106" s="1"/>
      <c r="WIB106" s="73"/>
      <c r="WIC106" s="74"/>
      <c r="WIE106" s="75"/>
      <c r="WIH106" s="75"/>
      <c r="WII106" s="72"/>
      <c r="WIJ106" s="68"/>
      <c r="WIK106" s="1"/>
      <c r="WIL106" s="73"/>
      <c r="WIM106" s="74"/>
      <c r="WIO106" s="75"/>
      <c r="WIR106" s="75"/>
      <c r="WIS106" s="72"/>
      <c r="WIT106" s="68"/>
      <c r="WIU106" s="1"/>
      <c r="WIV106" s="73"/>
      <c r="WIW106" s="74"/>
      <c r="WIY106" s="75"/>
      <c r="WJB106" s="75"/>
      <c r="WJC106" s="72"/>
      <c r="WJD106" s="68"/>
      <c r="WJE106" s="1"/>
      <c r="WJF106" s="73"/>
      <c r="WJG106" s="74"/>
      <c r="WJI106" s="75"/>
      <c r="WJL106" s="75"/>
      <c r="WJM106" s="72"/>
      <c r="WJN106" s="68"/>
      <c r="WJO106" s="1"/>
      <c r="WJP106" s="73"/>
      <c r="WJQ106" s="74"/>
      <c r="WJS106" s="75"/>
      <c r="WJV106" s="75"/>
      <c r="WJW106" s="72"/>
      <c r="WJX106" s="68"/>
      <c r="WJY106" s="1"/>
      <c r="WJZ106" s="73"/>
      <c r="WKA106" s="74"/>
      <c r="WKC106" s="75"/>
      <c r="WKF106" s="75"/>
      <c r="WKG106" s="72"/>
      <c r="WKH106" s="68"/>
      <c r="WKI106" s="1"/>
      <c r="WKJ106" s="73"/>
      <c r="WKK106" s="74"/>
      <c r="WKM106" s="75"/>
      <c r="WKP106" s="75"/>
      <c r="WKQ106" s="72"/>
      <c r="WKR106" s="68"/>
      <c r="WKS106" s="1"/>
      <c r="WKT106" s="73"/>
      <c r="WKU106" s="74"/>
      <c r="WKW106" s="75"/>
      <c r="WKZ106" s="75"/>
      <c r="WLA106" s="72"/>
      <c r="WLB106" s="68"/>
      <c r="WLC106" s="1"/>
      <c r="WLD106" s="73"/>
      <c r="WLE106" s="74"/>
      <c r="WLG106" s="75"/>
      <c r="WLJ106" s="75"/>
      <c r="WLK106" s="72"/>
      <c r="WLL106" s="68"/>
      <c r="WLM106" s="1"/>
      <c r="WLN106" s="73"/>
      <c r="WLO106" s="74"/>
      <c r="WLQ106" s="75"/>
      <c r="WLT106" s="75"/>
      <c r="WLU106" s="72"/>
      <c r="WLV106" s="68"/>
      <c r="WLW106" s="1"/>
      <c r="WLX106" s="73"/>
      <c r="WLY106" s="74"/>
      <c r="WMA106" s="75"/>
      <c r="WMD106" s="75"/>
      <c r="WME106" s="72"/>
      <c r="WMF106" s="68"/>
      <c r="WMG106" s="1"/>
      <c r="WMH106" s="73"/>
      <c r="WMI106" s="74"/>
      <c r="WMK106" s="75"/>
      <c r="WMN106" s="75"/>
      <c r="WMO106" s="72"/>
      <c r="WMP106" s="68"/>
      <c r="WMQ106" s="1"/>
      <c r="WMR106" s="73"/>
      <c r="WMS106" s="74"/>
      <c r="WMU106" s="75"/>
      <c r="WMX106" s="75"/>
      <c r="WMY106" s="72"/>
      <c r="WMZ106" s="68"/>
      <c r="WNA106" s="1"/>
      <c r="WNB106" s="73"/>
      <c r="WNC106" s="74"/>
      <c r="WNE106" s="75"/>
      <c r="WNH106" s="75"/>
      <c r="WNI106" s="72"/>
      <c r="WNJ106" s="68"/>
      <c r="WNK106" s="1"/>
      <c r="WNL106" s="73"/>
      <c r="WNM106" s="74"/>
      <c r="WNO106" s="75"/>
      <c r="WNR106" s="75"/>
      <c r="WNS106" s="72"/>
      <c r="WNT106" s="68"/>
      <c r="WNU106" s="1"/>
      <c r="WNV106" s="73"/>
      <c r="WNW106" s="74"/>
      <c r="WNY106" s="75"/>
      <c r="WOB106" s="75"/>
      <c r="WOC106" s="72"/>
      <c r="WOD106" s="68"/>
      <c r="WOE106" s="1"/>
      <c r="WOF106" s="73"/>
      <c r="WOG106" s="74"/>
      <c r="WOI106" s="75"/>
      <c r="WOL106" s="75"/>
      <c r="WOM106" s="72"/>
      <c r="WON106" s="68"/>
      <c r="WOO106" s="1"/>
      <c r="WOP106" s="73"/>
      <c r="WOQ106" s="74"/>
      <c r="WOS106" s="75"/>
      <c r="WOV106" s="75"/>
      <c r="WOW106" s="72"/>
      <c r="WOX106" s="68"/>
      <c r="WOY106" s="1"/>
      <c r="WOZ106" s="73"/>
      <c r="WPA106" s="74"/>
      <c r="WPC106" s="75"/>
      <c r="WPF106" s="75"/>
      <c r="WPG106" s="72"/>
      <c r="WPH106" s="68"/>
      <c r="WPI106" s="1"/>
      <c r="WPJ106" s="73"/>
      <c r="WPK106" s="74"/>
      <c r="WPM106" s="75"/>
      <c r="WPP106" s="75"/>
      <c r="WPQ106" s="72"/>
      <c r="WPR106" s="68"/>
      <c r="WPS106" s="1"/>
      <c r="WPT106" s="73"/>
      <c r="WPU106" s="74"/>
      <c r="WPW106" s="75"/>
      <c r="WPZ106" s="75"/>
      <c r="WQA106" s="72"/>
      <c r="WQB106" s="68"/>
      <c r="WQC106" s="1"/>
      <c r="WQD106" s="73"/>
      <c r="WQE106" s="74"/>
      <c r="WQG106" s="75"/>
      <c r="WQJ106" s="75"/>
      <c r="WQK106" s="72"/>
      <c r="WQL106" s="68"/>
      <c r="WQM106" s="1"/>
      <c r="WQN106" s="73"/>
      <c r="WQO106" s="74"/>
      <c r="WQQ106" s="75"/>
      <c r="WQT106" s="75"/>
      <c r="WQU106" s="72"/>
      <c r="WQV106" s="68"/>
      <c r="WQW106" s="1"/>
      <c r="WQX106" s="73"/>
      <c r="WQY106" s="74"/>
      <c r="WRA106" s="75"/>
      <c r="WRD106" s="75"/>
      <c r="WRE106" s="72"/>
      <c r="WRF106" s="68"/>
      <c r="WRG106" s="1"/>
      <c r="WRH106" s="73"/>
      <c r="WRI106" s="74"/>
      <c r="WRK106" s="75"/>
      <c r="WRN106" s="75"/>
      <c r="WRO106" s="72"/>
      <c r="WRP106" s="68"/>
      <c r="WRQ106" s="1"/>
      <c r="WRR106" s="73"/>
      <c r="WRS106" s="74"/>
      <c r="WRU106" s="75"/>
      <c r="WRX106" s="75"/>
      <c r="WRY106" s="72"/>
      <c r="WRZ106" s="68"/>
      <c r="WSA106" s="1"/>
      <c r="WSB106" s="73"/>
      <c r="WSC106" s="74"/>
      <c r="WSE106" s="75"/>
      <c r="WSH106" s="75"/>
      <c r="WSI106" s="72"/>
      <c r="WSJ106" s="68"/>
      <c r="WSK106" s="1"/>
      <c r="WSL106" s="73"/>
      <c r="WSM106" s="74"/>
      <c r="WSO106" s="75"/>
      <c r="WSR106" s="75"/>
      <c r="WSS106" s="72"/>
      <c r="WST106" s="68"/>
      <c r="WSU106" s="1"/>
      <c r="WSV106" s="73"/>
      <c r="WSW106" s="74"/>
      <c r="WSY106" s="75"/>
      <c r="WTB106" s="75"/>
      <c r="WTC106" s="72"/>
      <c r="WTD106" s="68"/>
      <c r="WTE106" s="1"/>
      <c r="WTF106" s="73"/>
      <c r="WTG106" s="74"/>
      <c r="WTI106" s="75"/>
      <c r="WTL106" s="75"/>
      <c r="WTM106" s="72"/>
      <c r="WTN106" s="68"/>
      <c r="WTO106" s="1"/>
      <c r="WTP106" s="73"/>
      <c r="WTQ106" s="74"/>
      <c r="WTS106" s="75"/>
      <c r="WTV106" s="75"/>
      <c r="WTW106" s="72"/>
      <c r="WTX106" s="68"/>
      <c r="WTY106" s="1"/>
      <c r="WTZ106" s="73"/>
      <c r="WUA106" s="74"/>
      <c r="WUC106" s="75"/>
      <c r="WUF106" s="75"/>
      <c r="WUG106" s="72"/>
      <c r="WUH106" s="68"/>
      <c r="WUI106" s="1"/>
      <c r="WUJ106" s="73"/>
      <c r="WUK106" s="74"/>
      <c r="WUM106" s="75"/>
      <c r="WUP106" s="75"/>
      <c r="WUQ106" s="72"/>
      <c r="WUR106" s="68"/>
      <c r="WUS106" s="1"/>
      <c r="WUT106" s="73"/>
      <c r="WUU106" s="74"/>
      <c r="WUW106" s="75"/>
      <c r="WUZ106" s="75"/>
      <c r="WVA106" s="72"/>
      <c r="WVB106" s="68"/>
      <c r="WVC106" s="1"/>
      <c r="WVD106" s="73"/>
      <c r="WVE106" s="74"/>
      <c r="WVG106" s="75"/>
      <c r="WVJ106" s="75"/>
      <c r="WVK106" s="72"/>
      <c r="WVL106" s="68"/>
      <c r="WVM106" s="1"/>
      <c r="WVN106" s="73"/>
      <c r="WVO106" s="74"/>
      <c r="WVQ106" s="75"/>
      <c r="WVT106" s="75"/>
      <c r="WVU106" s="72"/>
      <c r="WVV106" s="68"/>
      <c r="WVW106" s="1"/>
      <c r="WVX106" s="73"/>
      <c r="WVY106" s="74"/>
      <c r="WWA106" s="75"/>
      <c r="WWD106" s="75"/>
      <c r="WWE106" s="72"/>
      <c r="WWF106" s="68"/>
      <c r="WWG106" s="1"/>
      <c r="WWH106" s="73"/>
      <c r="WWI106" s="74"/>
      <c r="WWK106" s="75"/>
      <c r="WWN106" s="75"/>
      <c r="WWO106" s="72"/>
      <c r="WWP106" s="68"/>
      <c r="WWQ106" s="1"/>
      <c r="WWR106" s="73"/>
      <c r="WWS106" s="74"/>
      <c r="WWU106" s="75"/>
      <c r="WWX106" s="75"/>
      <c r="WWY106" s="72"/>
      <c r="WWZ106" s="68"/>
      <c r="WXA106" s="1"/>
      <c r="WXB106" s="73"/>
      <c r="WXC106" s="74"/>
      <c r="WXE106" s="75"/>
      <c r="WXH106" s="75"/>
      <c r="WXI106" s="72"/>
      <c r="WXJ106" s="68"/>
      <c r="WXK106" s="1"/>
      <c r="WXL106" s="73"/>
      <c r="WXM106" s="74"/>
      <c r="WXO106" s="75"/>
      <c r="WXR106" s="75"/>
      <c r="WXS106" s="72"/>
      <c r="WXT106" s="68"/>
      <c r="WXU106" s="1"/>
      <c r="WXV106" s="73"/>
      <c r="WXW106" s="74"/>
      <c r="WXY106" s="75"/>
      <c r="WYB106" s="75"/>
      <c r="WYC106" s="72"/>
      <c r="WYD106" s="68"/>
      <c r="WYE106" s="1"/>
      <c r="WYF106" s="73"/>
      <c r="WYG106" s="74"/>
      <c r="WYI106" s="75"/>
      <c r="WYL106" s="75"/>
      <c r="WYM106" s="72"/>
      <c r="WYN106" s="68"/>
      <c r="WYO106" s="1"/>
      <c r="WYP106" s="73"/>
      <c r="WYQ106" s="74"/>
      <c r="WYS106" s="75"/>
      <c r="WYV106" s="75"/>
      <c r="WYW106" s="72"/>
      <c r="WYX106" s="68"/>
      <c r="WYY106" s="1"/>
      <c r="WYZ106" s="73"/>
      <c r="WZA106" s="74"/>
      <c r="WZC106" s="75"/>
      <c r="WZF106" s="75"/>
      <c r="WZG106" s="72"/>
      <c r="WZH106" s="68"/>
      <c r="WZI106" s="1"/>
      <c r="WZJ106" s="73"/>
      <c r="WZK106" s="74"/>
      <c r="WZM106" s="75"/>
      <c r="WZP106" s="75"/>
      <c r="WZQ106" s="72"/>
      <c r="WZR106" s="68"/>
      <c r="WZS106" s="1"/>
      <c r="WZT106" s="73"/>
      <c r="WZU106" s="74"/>
      <c r="WZW106" s="75"/>
      <c r="WZZ106" s="75"/>
      <c r="XAA106" s="72"/>
      <c r="XAB106" s="68"/>
      <c r="XAC106" s="1"/>
      <c r="XAD106" s="73"/>
      <c r="XAE106" s="74"/>
      <c r="XAG106" s="75"/>
      <c r="XAJ106" s="75"/>
      <c r="XAK106" s="72"/>
      <c r="XAL106" s="68"/>
      <c r="XAM106" s="1"/>
      <c r="XAN106" s="73"/>
      <c r="XAO106" s="74"/>
      <c r="XAQ106" s="75"/>
      <c r="XAT106" s="75"/>
      <c r="XAU106" s="72"/>
      <c r="XAV106" s="68"/>
      <c r="XAW106" s="1"/>
      <c r="XAX106" s="73"/>
      <c r="XAY106" s="74"/>
      <c r="XBA106" s="75"/>
      <c r="XBD106" s="75"/>
      <c r="XBE106" s="72"/>
      <c r="XBF106" s="68"/>
      <c r="XBG106" s="1"/>
      <c r="XBH106" s="73"/>
      <c r="XBI106" s="74"/>
      <c r="XBK106" s="75"/>
      <c r="XBN106" s="75"/>
      <c r="XBO106" s="72"/>
      <c r="XBP106" s="68"/>
      <c r="XBQ106" s="1"/>
      <c r="XBR106" s="73"/>
      <c r="XBS106" s="74"/>
      <c r="XBU106" s="75"/>
      <c r="XBX106" s="75"/>
      <c r="XBY106" s="72"/>
      <c r="XBZ106" s="68"/>
      <c r="XCA106" s="1"/>
      <c r="XCB106" s="73"/>
      <c r="XCC106" s="74"/>
      <c r="XCE106" s="75"/>
      <c r="XCH106" s="75"/>
      <c r="XCI106" s="72"/>
      <c r="XCJ106" s="68"/>
      <c r="XCK106" s="1"/>
      <c r="XCL106" s="73"/>
      <c r="XCM106" s="74"/>
      <c r="XCO106" s="75"/>
      <c r="XCR106" s="75"/>
      <c r="XCS106" s="72"/>
      <c r="XCT106" s="68"/>
      <c r="XCU106" s="1"/>
      <c r="XCV106" s="73"/>
      <c r="XCW106" s="74"/>
      <c r="XCY106" s="75"/>
      <c r="XDB106" s="75"/>
      <c r="XDC106" s="72"/>
      <c r="XDD106" s="68"/>
      <c r="XDE106" s="1"/>
      <c r="XDF106" s="73"/>
      <c r="XDG106" s="74"/>
      <c r="XDI106" s="75"/>
      <c r="XDL106" s="75"/>
      <c r="XDM106" s="72"/>
      <c r="XDN106" s="68"/>
      <c r="XDO106" s="1"/>
      <c r="XDP106" s="73"/>
      <c r="XDQ106" s="74"/>
      <c r="XDS106" s="75"/>
      <c r="XDV106" s="75"/>
      <c r="XDW106" s="72"/>
      <c r="XDX106" s="68"/>
      <c r="XDY106" s="1"/>
      <c r="XDZ106" s="73"/>
      <c r="XEA106" s="74"/>
      <c r="XEC106" s="75"/>
      <c r="XEF106" s="75"/>
      <c r="XEG106" s="72"/>
      <c r="XEH106" s="68"/>
      <c r="XEI106" s="1"/>
      <c r="XEJ106" s="73"/>
      <c r="XEK106" s="74"/>
      <c r="XEM106" s="75"/>
      <c r="XEP106" s="75"/>
      <c r="XEQ106" s="72"/>
      <c r="XER106" s="68"/>
      <c r="XES106" s="1"/>
      <c r="XET106" s="73"/>
      <c r="XEU106" s="74"/>
      <c r="XEW106" s="75"/>
      <c r="XEZ106" s="75"/>
      <c r="XFA106" s="72"/>
      <c r="XFB106" s="68"/>
      <c r="XFC106" s="1"/>
      <c r="XFD106" s="73"/>
    </row>
    <row r="107" s="21" customFormat="true" ht="16.5" hidden="false" customHeight="true" outlineLevel="0" collapsed="false">
      <c r="A107" s="72" t="n">
        <v>45891</v>
      </c>
      <c r="B107" s="68"/>
      <c r="C107" s="1"/>
      <c r="D107" s="73" t="n">
        <v>0.643025069444445</v>
      </c>
      <c r="E107" s="74" t="n">
        <v>59988.6564501849</v>
      </c>
      <c r="F107" s="21" t="n">
        <v>148351.5566667</v>
      </c>
      <c r="G107" s="75" t="n">
        <v>0.678889627922975</v>
      </c>
      <c r="H107" s="21" t="n">
        <v>103109.636450185</v>
      </c>
      <c r="I107" s="21" t="n">
        <v>193975.0366667</v>
      </c>
      <c r="J107" s="75" t="n">
        <v>1.13475135975293</v>
      </c>
      <c r="K107" s="72"/>
      <c r="L107" s="68"/>
      <c r="M107" s="1"/>
      <c r="N107" s="73"/>
      <c r="O107" s="74"/>
      <c r="Q107" s="75"/>
      <c r="T107" s="75"/>
      <c r="U107" s="72"/>
      <c r="V107" s="68"/>
      <c r="W107" s="1"/>
      <c r="X107" s="73"/>
      <c r="Y107" s="74"/>
      <c r="AA107" s="75"/>
      <c r="AD107" s="75"/>
      <c r="AE107" s="72"/>
      <c r="AF107" s="68"/>
      <c r="AG107" s="1"/>
      <c r="AH107" s="73"/>
      <c r="AI107" s="74"/>
      <c r="AK107" s="75"/>
      <c r="AN107" s="75"/>
      <c r="AO107" s="72"/>
      <c r="AP107" s="68"/>
      <c r="AQ107" s="1"/>
      <c r="AR107" s="73"/>
      <c r="AS107" s="74"/>
      <c r="AU107" s="75"/>
      <c r="AX107" s="75"/>
      <c r="AY107" s="72"/>
      <c r="AZ107" s="68"/>
      <c r="BA107" s="1"/>
      <c r="BB107" s="73"/>
      <c r="BC107" s="74"/>
      <c r="BE107" s="75"/>
      <c r="BH107" s="75"/>
      <c r="BI107" s="72"/>
      <c r="BJ107" s="68"/>
      <c r="BK107" s="1"/>
      <c r="BL107" s="73"/>
      <c r="BM107" s="74"/>
      <c r="BO107" s="75"/>
      <c r="BR107" s="75"/>
      <c r="BS107" s="72"/>
      <c r="BT107" s="68"/>
      <c r="BU107" s="1"/>
      <c r="BV107" s="73"/>
      <c r="BW107" s="74"/>
      <c r="BY107" s="75"/>
      <c r="CB107" s="75"/>
      <c r="CC107" s="72"/>
      <c r="CD107" s="68"/>
      <c r="CE107" s="1"/>
      <c r="CF107" s="73"/>
      <c r="CG107" s="74"/>
      <c r="CI107" s="75"/>
      <c r="CL107" s="75"/>
      <c r="CM107" s="72"/>
      <c r="CN107" s="68"/>
      <c r="CO107" s="1"/>
      <c r="CP107" s="73"/>
      <c r="CQ107" s="74"/>
      <c r="CS107" s="75"/>
      <c r="CV107" s="75"/>
      <c r="CW107" s="72"/>
      <c r="CX107" s="68"/>
      <c r="CY107" s="1"/>
      <c r="CZ107" s="73"/>
      <c r="DA107" s="74"/>
      <c r="DC107" s="75"/>
      <c r="DF107" s="75"/>
      <c r="DG107" s="72"/>
      <c r="DH107" s="68"/>
      <c r="DI107" s="1"/>
      <c r="DJ107" s="73"/>
      <c r="DK107" s="74"/>
      <c r="DM107" s="75"/>
      <c r="DP107" s="75"/>
      <c r="DQ107" s="72"/>
      <c r="DR107" s="68"/>
      <c r="DS107" s="1"/>
      <c r="DT107" s="73"/>
      <c r="DU107" s="74"/>
      <c r="DW107" s="75"/>
      <c r="DZ107" s="75"/>
      <c r="EA107" s="72"/>
      <c r="EB107" s="68"/>
      <c r="EC107" s="1"/>
      <c r="ED107" s="73"/>
      <c r="EE107" s="74"/>
      <c r="EG107" s="75"/>
      <c r="EJ107" s="75"/>
      <c r="EK107" s="72"/>
      <c r="EL107" s="68"/>
      <c r="EM107" s="1"/>
      <c r="EN107" s="73"/>
      <c r="EO107" s="74"/>
      <c r="EQ107" s="75"/>
      <c r="ET107" s="75"/>
      <c r="EU107" s="72"/>
      <c r="EV107" s="68"/>
      <c r="EW107" s="1"/>
      <c r="EX107" s="73"/>
      <c r="EY107" s="74"/>
      <c r="FA107" s="75"/>
      <c r="FD107" s="75"/>
      <c r="FE107" s="72"/>
      <c r="FF107" s="68"/>
      <c r="FG107" s="1"/>
      <c r="FH107" s="73"/>
      <c r="FI107" s="74"/>
      <c r="FK107" s="75"/>
      <c r="FN107" s="75"/>
      <c r="FO107" s="72"/>
      <c r="FP107" s="68"/>
      <c r="FQ107" s="1"/>
      <c r="FR107" s="73"/>
      <c r="FS107" s="74"/>
      <c r="FU107" s="75"/>
      <c r="FX107" s="75"/>
      <c r="FY107" s="72"/>
      <c r="FZ107" s="68"/>
      <c r="GA107" s="1"/>
      <c r="GB107" s="73"/>
      <c r="GC107" s="74"/>
      <c r="GE107" s="75"/>
      <c r="GH107" s="75"/>
      <c r="GI107" s="72"/>
      <c r="GJ107" s="68"/>
      <c r="GK107" s="1"/>
      <c r="GL107" s="73"/>
      <c r="GM107" s="74"/>
      <c r="GO107" s="75"/>
      <c r="GR107" s="75"/>
      <c r="GS107" s="72"/>
      <c r="GT107" s="68"/>
      <c r="GU107" s="1"/>
      <c r="GV107" s="73"/>
      <c r="GW107" s="74"/>
      <c r="GY107" s="75"/>
      <c r="HB107" s="75"/>
      <c r="HC107" s="72"/>
      <c r="HD107" s="68"/>
      <c r="HE107" s="1"/>
      <c r="HF107" s="73"/>
      <c r="HG107" s="74"/>
      <c r="HI107" s="75"/>
      <c r="HL107" s="75"/>
      <c r="HM107" s="72"/>
      <c r="HN107" s="68"/>
      <c r="HO107" s="1"/>
      <c r="HP107" s="73"/>
      <c r="HQ107" s="74"/>
      <c r="HS107" s="75"/>
      <c r="HV107" s="75"/>
      <c r="HW107" s="72"/>
      <c r="HX107" s="68"/>
      <c r="HY107" s="1"/>
      <c r="HZ107" s="73"/>
      <c r="IA107" s="74"/>
      <c r="IC107" s="75"/>
      <c r="IF107" s="75"/>
      <c r="IG107" s="72"/>
      <c r="IH107" s="68"/>
      <c r="II107" s="1"/>
      <c r="IJ107" s="73"/>
      <c r="IK107" s="74"/>
      <c r="IM107" s="75"/>
      <c r="IP107" s="75"/>
      <c r="IQ107" s="72"/>
      <c r="IR107" s="68"/>
      <c r="IS107" s="1"/>
      <c r="IT107" s="73"/>
      <c r="IU107" s="74"/>
      <c r="IW107" s="75"/>
      <c r="IZ107" s="75"/>
      <c r="JA107" s="72"/>
      <c r="JB107" s="68"/>
      <c r="JC107" s="1"/>
      <c r="JD107" s="73"/>
      <c r="JE107" s="74"/>
      <c r="JG107" s="75"/>
      <c r="JJ107" s="75"/>
      <c r="JK107" s="72"/>
      <c r="JL107" s="68"/>
      <c r="JM107" s="1"/>
      <c r="JN107" s="73"/>
      <c r="JO107" s="74"/>
      <c r="JQ107" s="75"/>
      <c r="JT107" s="75"/>
      <c r="JU107" s="72"/>
      <c r="JV107" s="68"/>
      <c r="JW107" s="1"/>
      <c r="JX107" s="73"/>
      <c r="JY107" s="74"/>
      <c r="KA107" s="75"/>
      <c r="KD107" s="75"/>
      <c r="KE107" s="72"/>
      <c r="KF107" s="68"/>
      <c r="KG107" s="1"/>
      <c r="KH107" s="73"/>
      <c r="KI107" s="74"/>
      <c r="KK107" s="75"/>
      <c r="KN107" s="75"/>
      <c r="KO107" s="72"/>
      <c r="KP107" s="68"/>
      <c r="KQ107" s="1"/>
      <c r="KR107" s="73"/>
      <c r="KS107" s="74"/>
      <c r="KU107" s="75"/>
      <c r="KX107" s="75"/>
      <c r="KY107" s="72"/>
      <c r="KZ107" s="68"/>
      <c r="LA107" s="1"/>
      <c r="LB107" s="73"/>
      <c r="LC107" s="74"/>
      <c r="LE107" s="75"/>
      <c r="LH107" s="75"/>
      <c r="LI107" s="72"/>
      <c r="LJ107" s="68"/>
      <c r="LK107" s="1"/>
      <c r="LL107" s="73"/>
      <c r="LM107" s="74"/>
      <c r="LO107" s="75"/>
      <c r="LR107" s="75"/>
      <c r="LS107" s="72"/>
      <c r="LT107" s="68"/>
      <c r="LU107" s="1"/>
      <c r="LV107" s="73"/>
      <c r="LW107" s="74"/>
      <c r="LY107" s="75"/>
      <c r="MB107" s="75"/>
      <c r="MC107" s="72"/>
      <c r="MD107" s="68"/>
      <c r="ME107" s="1"/>
      <c r="MF107" s="73"/>
      <c r="MG107" s="74"/>
      <c r="MI107" s="75"/>
      <c r="ML107" s="75"/>
      <c r="MM107" s="72"/>
      <c r="MN107" s="68"/>
      <c r="MO107" s="1"/>
      <c r="MP107" s="73"/>
      <c r="MQ107" s="74"/>
      <c r="MS107" s="75"/>
      <c r="MV107" s="75"/>
      <c r="MW107" s="72"/>
      <c r="MX107" s="68"/>
      <c r="MY107" s="1"/>
      <c r="MZ107" s="73"/>
      <c r="NA107" s="74"/>
      <c r="NC107" s="75"/>
      <c r="NF107" s="75"/>
      <c r="NG107" s="72"/>
      <c r="NH107" s="68"/>
      <c r="NI107" s="1"/>
      <c r="NJ107" s="73"/>
      <c r="NK107" s="74"/>
      <c r="NM107" s="75"/>
      <c r="NP107" s="75"/>
      <c r="NQ107" s="72"/>
      <c r="NR107" s="68"/>
      <c r="NS107" s="1"/>
      <c r="NT107" s="73"/>
      <c r="NU107" s="74"/>
      <c r="NW107" s="75"/>
      <c r="NZ107" s="75"/>
      <c r="OA107" s="72"/>
      <c r="OB107" s="68"/>
      <c r="OC107" s="1"/>
      <c r="OD107" s="73"/>
      <c r="OE107" s="74"/>
      <c r="OG107" s="75"/>
      <c r="OJ107" s="75"/>
      <c r="OK107" s="72"/>
      <c r="OL107" s="68"/>
      <c r="OM107" s="1"/>
      <c r="ON107" s="73"/>
      <c r="OO107" s="74"/>
      <c r="OQ107" s="75"/>
      <c r="OT107" s="75"/>
      <c r="OU107" s="72"/>
      <c r="OV107" s="68"/>
      <c r="OW107" s="1"/>
      <c r="OX107" s="73"/>
      <c r="OY107" s="74"/>
      <c r="PA107" s="75"/>
      <c r="PD107" s="75"/>
      <c r="PE107" s="72"/>
      <c r="PF107" s="68"/>
      <c r="PG107" s="1"/>
      <c r="PH107" s="73"/>
      <c r="PI107" s="74"/>
      <c r="PK107" s="75"/>
      <c r="PN107" s="75"/>
      <c r="PO107" s="72"/>
      <c r="PP107" s="68"/>
      <c r="PQ107" s="1"/>
      <c r="PR107" s="73"/>
      <c r="PS107" s="74"/>
      <c r="PU107" s="75"/>
      <c r="PX107" s="75"/>
      <c r="PY107" s="72"/>
      <c r="PZ107" s="68"/>
      <c r="QA107" s="1"/>
      <c r="QB107" s="73"/>
      <c r="QC107" s="74"/>
      <c r="QE107" s="75"/>
      <c r="QH107" s="75"/>
      <c r="QI107" s="72"/>
      <c r="QJ107" s="68"/>
      <c r="QK107" s="1"/>
      <c r="QL107" s="73"/>
      <c r="QM107" s="74"/>
      <c r="QO107" s="75"/>
      <c r="QR107" s="75"/>
      <c r="QS107" s="72"/>
      <c r="QT107" s="68"/>
      <c r="QU107" s="1"/>
      <c r="QV107" s="73"/>
      <c r="QW107" s="74"/>
      <c r="QY107" s="75"/>
      <c r="RB107" s="75"/>
      <c r="RC107" s="72"/>
      <c r="RD107" s="68"/>
      <c r="RE107" s="1"/>
      <c r="RF107" s="73"/>
      <c r="RG107" s="74"/>
      <c r="RI107" s="75"/>
      <c r="RL107" s="75"/>
      <c r="RM107" s="72"/>
      <c r="RN107" s="68"/>
      <c r="RO107" s="1"/>
      <c r="RP107" s="73"/>
      <c r="RQ107" s="74"/>
      <c r="RS107" s="75"/>
      <c r="RV107" s="75"/>
      <c r="RW107" s="72"/>
      <c r="RX107" s="68"/>
      <c r="RY107" s="1"/>
      <c r="RZ107" s="73"/>
      <c r="SA107" s="74"/>
      <c r="SC107" s="75"/>
      <c r="SF107" s="75"/>
      <c r="SG107" s="72"/>
      <c r="SH107" s="68"/>
      <c r="SI107" s="1"/>
      <c r="SJ107" s="73"/>
      <c r="SK107" s="74"/>
      <c r="SM107" s="75"/>
      <c r="SP107" s="75"/>
      <c r="SQ107" s="72"/>
      <c r="SR107" s="68"/>
      <c r="SS107" s="1"/>
      <c r="ST107" s="73"/>
      <c r="SU107" s="74"/>
      <c r="SW107" s="75"/>
      <c r="SZ107" s="75"/>
      <c r="TA107" s="72"/>
      <c r="TB107" s="68"/>
      <c r="TC107" s="1"/>
      <c r="TD107" s="73"/>
      <c r="TE107" s="74"/>
      <c r="TG107" s="75"/>
      <c r="TJ107" s="75"/>
      <c r="TK107" s="72"/>
      <c r="TL107" s="68"/>
      <c r="TM107" s="1"/>
      <c r="TN107" s="73"/>
      <c r="TO107" s="74"/>
      <c r="TQ107" s="75"/>
      <c r="TT107" s="75"/>
      <c r="TU107" s="72"/>
      <c r="TV107" s="68"/>
      <c r="TW107" s="1"/>
      <c r="TX107" s="73"/>
      <c r="TY107" s="74"/>
      <c r="UA107" s="75"/>
      <c r="UD107" s="75"/>
      <c r="UE107" s="72"/>
      <c r="UF107" s="68"/>
      <c r="UG107" s="1"/>
      <c r="UH107" s="73"/>
      <c r="UI107" s="74"/>
      <c r="UK107" s="75"/>
      <c r="UN107" s="75"/>
      <c r="UO107" s="72"/>
      <c r="UP107" s="68"/>
      <c r="UQ107" s="1"/>
      <c r="UR107" s="73"/>
      <c r="US107" s="74"/>
      <c r="UU107" s="75"/>
      <c r="UX107" s="75"/>
      <c r="UY107" s="72"/>
      <c r="UZ107" s="68"/>
      <c r="VA107" s="1"/>
      <c r="VB107" s="73"/>
      <c r="VC107" s="74"/>
      <c r="VE107" s="75"/>
      <c r="VH107" s="75"/>
      <c r="VI107" s="72"/>
      <c r="VJ107" s="68"/>
      <c r="VK107" s="1"/>
      <c r="VL107" s="73"/>
      <c r="VM107" s="74"/>
      <c r="VO107" s="75"/>
      <c r="VR107" s="75"/>
      <c r="VS107" s="72"/>
      <c r="VT107" s="68"/>
      <c r="VU107" s="1"/>
      <c r="VV107" s="73"/>
      <c r="VW107" s="74"/>
      <c r="VY107" s="75"/>
      <c r="WB107" s="75"/>
      <c r="WC107" s="72"/>
      <c r="WD107" s="68"/>
      <c r="WE107" s="1"/>
      <c r="WF107" s="73"/>
      <c r="WG107" s="74"/>
      <c r="WI107" s="75"/>
      <c r="WL107" s="75"/>
      <c r="WM107" s="72"/>
      <c r="WN107" s="68"/>
      <c r="WO107" s="1"/>
      <c r="WP107" s="73"/>
      <c r="WQ107" s="74"/>
      <c r="WS107" s="75"/>
      <c r="WV107" s="75"/>
      <c r="WW107" s="72"/>
      <c r="WX107" s="68"/>
      <c r="WY107" s="1"/>
      <c r="WZ107" s="73"/>
      <c r="XA107" s="74"/>
      <c r="XC107" s="75"/>
      <c r="XF107" s="75"/>
      <c r="XG107" s="72"/>
      <c r="XH107" s="68"/>
      <c r="XI107" s="1"/>
      <c r="XJ107" s="73"/>
      <c r="XK107" s="74"/>
      <c r="XM107" s="75"/>
      <c r="XP107" s="75"/>
      <c r="XQ107" s="72"/>
      <c r="XR107" s="68"/>
      <c r="XS107" s="1"/>
      <c r="XT107" s="73"/>
      <c r="XU107" s="74"/>
      <c r="XW107" s="75"/>
      <c r="XZ107" s="75"/>
      <c r="YA107" s="72"/>
      <c r="YB107" s="68"/>
      <c r="YC107" s="1"/>
      <c r="YD107" s="73"/>
      <c r="YE107" s="74"/>
      <c r="YG107" s="75"/>
      <c r="YJ107" s="75"/>
      <c r="YK107" s="72"/>
      <c r="YL107" s="68"/>
      <c r="YM107" s="1"/>
      <c r="YN107" s="73"/>
      <c r="YO107" s="74"/>
      <c r="YQ107" s="75"/>
      <c r="YT107" s="75"/>
      <c r="YU107" s="72"/>
      <c r="YV107" s="68"/>
      <c r="YW107" s="1"/>
      <c r="YX107" s="73"/>
      <c r="YY107" s="74"/>
      <c r="ZA107" s="75"/>
      <c r="ZD107" s="75"/>
      <c r="ZE107" s="72"/>
      <c r="ZF107" s="68"/>
      <c r="ZG107" s="1"/>
      <c r="ZH107" s="73"/>
      <c r="ZI107" s="74"/>
      <c r="ZK107" s="75"/>
      <c r="ZN107" s="75"/>
      <c r="ZO107" s="72"/>
      <c r="ZP107" s="68"/>
      <c r="ZQ107" s="1"/>
      <c r="ZR107" s="73"/>
      <c r="ZS107" s="74"/>
      <c r="ZU107" s="75"/>
      <c r="ZX107" s="75"/>
      <c r="ZY107" s="72"/>
      <c r="ZZ107" s="68"/>
      <c r="AAA107" s="1"/>
      <c r="AAB107" s="73"/>
      <c r="AAC107" s="74"/>
      <c r="AAE107" s="75"/>
      <c r="AAH107" s="75"/>
      <c r="AAI107" s="72"/>
      <c r="AAJ107" s="68"/>
      <c r="AAK107" s="1"/>
      <c r="AAL107" s="73"/>
      <c r="AAM107" s="74"/>
      <c r="AAO107" s="75"/>
      <c r="AAR107" s="75"/>
      <c r="AAS107" s="72"/>
      <c r="AAT107" s="68"/>
      <c r="AAU107" s="1"/>
      <c r="AAV107" s="73"/>
      <c r="AAW107" s="74"/>
      <c r="AAY107" s="75"/>
      <c r="ABB107" s="75"/>
      <c r="ABC107" s="72"/>
      <c r="ABD107" s="68"/>
      <c r="ABE107" s="1"/>
      <c r="ABF107" s="73"/>
      <c r="ABG107" s="74"/>
      <c r="ABI107" s="75"/>
      <c r="ABL107" s="75"/>
      <c r="ABM107" s="72"/>
      <c r="ABN107" s="68"/>
      <c r="ABO107" s="1"/>
      <c r="ABP107" s="73"/>
      <c r="ABQ107" s="74"/>
      <c r="ABS107" s="75"/>
      <c r="ABV107" s="75"/>
      <c r="ABW107" s="72"/>
      <c r="ABX107" s="68"/>
      <c r="ABY107" s="1"/>
      <c r="ABZ107" s="73"/>
      <c r="ACA107" s="74"/>
      <c r="ACC107" s="75"/>
      <c r="ACF107" s="75"/>
      <c r="ACG107" s="72"/>
      <c r="ACH107" s="68"/>
      <c r="ACI107" s="1"/>
      <c r="ACJ107" s="73"/>
      <c r="ACK107" s="74"/>
      <c r="ACM107" s="75"/>
      <c r="ACP107" s="75"/>
      <c r="ACQ107" s="72"/>
      <c r="ACR107" s="68"/>
      <c r="ACS107" s="1"/>
      <c r="ACT107" s="73"/>
      <c r="ACU107" s="74"/>
      <c r="ACW107" s="75"/>
      <c r="ACZ107" s="75"/>
      <c r="ADA107" s="72"/>
      <c r="ADB107" s="68"/>
      <c r="ADC107" s="1"/>
      <c r="ADD107" s="73"/>
      <c r="ADE107" s="74"/>
      <c r="ADG107" s="75"/>
      <c r="ADJ107" s="75"/>
      <c r="ADK107" s="72"/>
      <c r="ADL107" s="68"/>
      <c r="ADM107" s="1"/>
      <c r="ADN107" s="73"/>
      <c r="ADO107" s="74"/>
      <c r="ADQ107" s="75"/>
      <c r="ADT107" s="75"/>
      <c r="ADU107" s="72"/>
      <c r="ADV107" s="68"/>
      <c r="ADW107" s="1"/>
      <c r="ADX107" s="73"/>
      <c r="ADY107" s="74"/>
      <c r="AEA107" s="75"/>
      <c r="AED107" s="75"/>
      <c r="AEE107" s="72"/>
      <c r="AEF107" s="68"/>
      <c r="AEG107" s="1"/>
      <c r="AEH107" s="73"/>
      <c r="AEI107" s="74"/>
      <c r="AEK107" s="75"/>
      <c r="AEN107" s="75"/>
      <c r="AEO107" s="72"/>
      <c r="AEP107" s="68"/>
      <c r="AEQ107" s="1"/>
      <c r="AER107" s="73"/>
      <c r="AES107" s="74"/>
      <c r="AEU107" s="75"/>
      <c r="AEX107" s="75"/>
      <c r="AEY107" s="72"/>
      <c r="AEZ107" s="68"/>
      <c r="AFA107" s="1"/>
      <c r="AFB107" s="73"/>
      <c r="AFC107" s="74"/>
      <c r="AFE107" s="75"/>
      <c r="AFH107" s="75"/>
      <c r="AFI107" s="72"/>
      <c r="AFJ107" s="68"/>
      <c r="AFK107" s="1"/>
      <c r="AFL107" s="73"/>
      <c r="AFM107" s="74"/>
      <c r="AFO107" s="75"/>
      <c r="AFR107" s="75"/>
      <c r="AFS107" s="72"/>
      <c r="AFT107" s="68"/>
      <c r="AFU107" s="1"/>
      <c r="AFV107" s="73"/>
      <c r="AFW107" s="74"/>
      <c r="AFY107" s="75"/>
      <c r="AGB107" s="75"/>
      <c r="AGC107" s="72"/>
      <c r="AGD107" s="68"/>
      <c r="AGE107" s="1"/>
      <c r="AGF107" s="73"/>
      <c r="AGG107" s="74"/>
      <c r="AGI107" s="75"/>
      <c r="AGL107" s="75"/>
      <c r="AGM107" s="72"/>
      <c r="AGN107" s="68"/>
      <c r="AGO107" s="1"/>
      <c r="AGP107" s="73"/>
      <c r="AGQ107" s="74"/>
      <c r="AGS107" s="75"/>
      <c r="AGV107" s="75"/>
      <c r="AGW107" s="72"/>
      <c r="AGX107" s="68"/>
      <c r="AGY107" s="1"/>
      <c r="AGZ107" s="73"/>
      <c r="AHA107" s="74"/>
      <c r="AHC107" s="75"/>
      <c r="AHF107" s="75"/>
      <c r="AHG107" s="72"/>
      <c r="AHH107" s="68"/>
      <c r="AHI107" s="1"/>
      <c r="AHJ107" s="73"/>
      <c r="AHK107" s="74"/>
      <c r="AHM107" s="75"/>
      <c r="AHP107" s="75"/>
      <c r="AHQ107" s="72"/>
      <c r="AHR107" s="68"/>
      <c r="AHS107" s="1"/>
      <c r="AHT107" s="73"/>
      <c r="AHU107" s="74"/>
      <c r="AHW107" s="75"/>
      <c r="AHZ107" s="75"/>
      <c r="AIA107" s="72"/>
      <c r="AIB107" s="68"/>
      <c r="AIC107" s="1"/>
      <c r="AID107" s="73"/>
      <c r="AIE107" s="74"/>
      <c r="AIG107" s="75"/>
      <c r="AIJ107" s="75"/>
      <c r="AIK107" s="72"/>
      <c r="AIL107" s="68"/>
      <c r="AIM107" s="1"/>
      <c r="AIN107" s="73"/>
      <c r="AIO107" s="74"/>
      <c r="AIQ107" s="75"/>
      <c r="AIT107" s="75"/>
      <c r="AIU107" s="72"/>
      <c r="AIV107" s="68"/>
      <c r="AIW107" s="1"/>
      <c r="AIX107" s="73"/>
      <c r="AIY107" s="74"/>
      <c r="AJA107" s="75"/>
      <c r="AJD107" s="75"/>
      <c r="AJE107" s="72"/>
      <c r="AJF107" s="68"/>
      <c r="AJG107" s="1"/>
      <c r="AJH107" s="73"/>
      <c r="AJI107" s="74"/>
      <c r="AJK107" s="75"/>
      <c r="AJN107" s="75"/>
      <c r="AJO107" s="72"/>
      <c r="AJP107" s="68"/>
      <c r="AJQ107" s="1"/>
      <c r="AJR107" s="73"/>
      <c r="AJS107" s="74"/>
      <c r="AJU107" s="75"/>
      <c r="AJX107" s="75"/>
      <c r="AJY107" s="72"/>
      <c r="AJZ107" s="68"/>
      <c r="AKA107" s="1"/>
      <c r="AKB107" s="73"/>
      <c r="AKC107" s="74"/>
      <c r="AKE107" s="75"/>
      <c r="AKH107" s="75"/>
      <c r="AKI107" s="72"/>
      <c r="AKJ107" s="68"/>
      <c r="AKK107" s="1"/>
      <c r="AKL107" s="73"/>
      <c r="AKM107" s="74"/>
      <c r="AKO107" s="75"/>
      <c r="AKR107" s="75"/>
      <c r="AKS107" s="72"/>
      <c r="AKT107" s="68"/>
      <c r="AKU107" s="1"/>
      <c r="AKV107" s="73"/>
      <c r="AKW107" s="74"/>
      <c r="AKY107" s="75"/>
      <c r="ALB107" s="75"/>
      <c r="ALC107" s="72"/>
      <c r="ALD107" s="68"/>
      <c r="ALE107" s="1"/>
      <c r="ALF107" s="73"/>
      <c r="ALG107" s="74"/>
      <c r="ALI107" s="75"/>
      <c r="ALL107" s="75"/>
      <c r="ALM107" s="72"/>
      <c r="ALN107" s="68"/>
      <c r="ALO107" s="1"/>
      <c r="ALP107" s="73"/>
      <c r="ALQ107" s="74"/>
      <c r="ALS107" s="75"/>
      <c r="ALV107" s="75"/>
      <c r="ALW107" s="72"/>
      <c r="ALX107" s="68"/>
      <c r="ALY107" s="1"/>
      <c r="ALZ107" s="73"/>
      <c r="AMA107" s="74"/>
      <c r="AMC107" s="75"/>
      <c r="AMF107" s="75"/>
      <c r="AMG107" s="72"/>
      <c r="AMH107" s="68"/>
      <c r="AMI107" s="1"/>
      <c r="AMJ107" s="73"/>
      <c r="AMK107" s="74"/>
      <c r="AMM107" s="75"/>
      <c r="AMP107" s="75"/>
      <c r="AMQ107" s="72"/>
      <c r="AMR107" s="68"/>
      <c r="AMS107" s="1"/>
      <c r="AMT107" s="73"/>
      <c r="AMU107" s="74"/>
      <c r="AMW107" s="75"/>
      <c r="AMZ107" s="75"/>
      <c r="ANA107" s="72"/>
      <c r="ANB107" s="68"/>
      <c r="ANC107" s="1"/>
      <c r="AND107" s="73"/>
      <c r="ANE107" s="74"/>
      <c r="ANG107" s="75"/>
      <c r="ANJ107" s="75"/>
      <c r="ANK107" s="72"/>
      <c r="ANL107" s="68"/>
      <c r="ANM107" s="1"/>
      <c r="ANN107" s="73"/>
      <c r="ANO107" s="74"/>
      <c r="ANQ107" s="75"/>
      <c r="ANT107" s="75"/>
      <c r="ANU107" s="72"/>
      <c r="ANV107" s="68"/>
      <c r="ANW107" s="1"/>
      <c r="ANX107" s="73"/>
      <c r="ANY107" s="74"/>
      <c r="AOA107" s="75"/>
      <c r="AOD107" s="75"/>
      <c r="AOE107" s="72"/>
      <c r="AOF107" s="68"/>
      <c r="AOG107" s="1"/>
      <c r="AOH107" s="73"/>
      <c r="AOI107" s="74"/>
      <c r="AOK107" s="75"/>
      <c r="AON107" s="75"/>
      <c r="AOO107" s="72"/>
      <c r="AOP107" s="68"/>
      <c r="AOQ107" s="1"/>
      <c r="AOR107" s="73"/>
      <c r="AOS107" s="74"/>
      <c r="AOU107" s="75"/>
      <c r="AOX107" s="75"/>
      <c r="AOY107" s="72"/>
      <c r="AOZ107" s="68"/>
      <c r="APA107" s="1"/>
      <c r="APB107" s="73"/>
      <c r="APC107" s="74"/>
      <c r="APE107" s="75"/>
      <c r="APH107" s="75"/>
      <c r="API107" s="72"/>
      <c r="APJ107" s="68"/>
      <c r="APK107" s="1"/>
      <c r="APL107" s="73"/>
      <c r="APM107" s="74"/>
      <c r="APO107" s="75"/>
      <c r="APR107" s="75"/>
      <c r="APS107" s="72"/>
      <c r="APT107" s="68"/>
      <c r="APU107" s="1"/>
      <c r="APV107" s="73"/>
      <c r="APW107" s="74"/>
      <c r="APY107" s="75"/>
      <c r="AQB107" s="75"/>
      <c r="AQC107" s="72"/>
      <c r="AQD107" s="68"/>
      <c r="AQE107" s="1"/>
      <c r="AQF107" s="73"/>
      <c r="AQG107" s="74"/>
      <c r="AQI107" s="75"/>
      <c r="AQL107" s="75"/>
      <c r="AQM107" s="72"/>
      <c r="AQN107" s="68"/>
      <c r="AQO107" s="1"/>
      <c r="AQP107" s="73"/>
      <c r="AQQ107" s="74"/>
      <c r="AQS107" s="75"/>
      <c r="AQV107" s="75"/>
      <c r="AQW107" s="72"/>
      <c r="AQX107" s="68"/>
      <c r="AQY107" s="1"/>
      <c r="AQZ107" s="73"/>
      <c r="ARA107" s="74"/>
      <c r="ARC107" s="75"/>
      <c r="ARF107" s="75"/>
      <c r="ARG107" s="72"/>
      <c r="ARH107" s="68"/>
      <c r="ARI107" s="1"/>
      <c r="ARJ107" s="73"/>
      <c r="ARK107" s="74"/>
      <c r="ARM107" s="75"/>
      <c r="ARP107" s="75"/>
      <c r="ARQ107" s="72"/>
      <c r="ARR107" s="68"/>
      <c r="ARS107" s="1"/>
      <c r="ART107" s="73"/>
      <c r="ARU107" s="74"/>
      <c r="ARW107" s="75"/>
      <c r="ARZ107" s="75"/>
      <c r="ASA107" s="72"/>
      <c r="ASB107" s="68"/>
      <c r="ASC107" s="1"/>
      <c r="ASD107" s="73"/>
      <c r="ASE107" s="74"/>
      <c r="ASG107" s="75"/>
      <c r="ASJ107" s="75"/>
      <c r="ASK107" s="72"/>
      <c r="ASL107" s="68"/>
      <c r="ASM107" s="1"/>
      <c r="ASN107" s="73"/>
      <c r="ASO107" s="74"/>
      <c r="ASQ107" s="75"/>
      <c r="AST107" s="75"/>
      <c r="ASU107" s="72"/>
      <c r="ASV107" s="68"/>
      <c r="ASW107" s="1"/>
      <c r="ASX107" s="73"/>
      <c r="ASY107" s="74"/>
      <c r="ATA107" s="75"/>
      <c r="ATD107" s="75"/>
      <c r="ATE107" s="72"/>
      <c r="ATF107" s="68"/>
      <c r="ATG107" s="1"/>
      <c r="ATH107" s="73"/>
      <c r="ATI107" s="74"/>
      <c r="ATK107" s="75"/>
      <c r="ATN107" s="75"/>
      <c r="ATO107" s="72"/>
      <c r="ATP107" s="68"/>
      <c r="ATQ107" s="1"/>
      <c r="ATR107" s="73"/>
      <c r="ATS107" s="74"/>
      <c r="ATU107" s="75"/>
      <c r="ATX107" s="75"/>
      <c r="ATY107" s="72"/>
      <c r="ATZ107" s="68"/>
      <c r="AUA107" s="1"/>
      <c r="AUB107" s="73"/>
      <c r="AUC107" s="74"/>
      <c r="AUE107" s="75"/>
      <c r="AUH107" s="75"/>
      <c r="AUI107" s="72"/>
      <c r="AUJ107" s="68"/>
      <c r="AUK107" s="1"/>
      <c r="AUL107" s="73"/>
      <c r="AUM107" s="74"/>
      <c r="AUO107" s="75"/>
      <c r="AUR107" s="75"/>
      <c r="AUS107" s="72"/>
      <c r="AUT107" s="68"/>
      <c r="AUU107" s="1"/>
      <c r="AUV107" s="73"/>
      <c r="AUW107" s="74"/>
      <c r="AUY107" s="75"/>
      <c r="AVB107" s="75"/>
      <c r="AVC107" s="72"/>
      <c r="AVD107" s="68"/>
      <c r="AVE107" s="1"/>
      <c r="AVF107" s="73"/>
      <c r="AVG107" s="74"/>
      <c r="AVI107" s="75"/>
      <c r="AVL107" s="75"/>
      <c r="AVM107" s="72"/>
      <c r="AVN107" s="68"/>
      <c r="AVO107" s="1"/>
      <c r="AVP107" s="73"/>
      <c r="AVQ107" s="74"/>
      <c r="AVS107" s="75"/>
      <c r="AVV107" s="75"/>
      <c r="AVW107" s="72"/>
      <c r="AVX107" s="68"/>
      <c r="AVY107" s="1"/>
      <c r="AVZ107" s="73"/>
      <c r="AWA107" s="74"/>
      <c r="AWC107" s="75"/>
      <c r="AWF107" s="75"/>
      <c r="AWG107" s="72"/>
      <c r="AWH107" s="68"/>
      <c r="AWI107" s="1"/>
      <c r="AWJ107" s="73"/>
      <c r="AWK107" s="74"/>
      <c r="AWM107" s="75"/>
      <c r="AWP107" s="75"/>
      <c r="AWQ107" s="72"/>
      <c r="AWR107" s="68"/>
      <c r="AWS107" s="1"/>
      <c r="AWT107" s="73"/>
      <c r="AWU107" s="74"/>
      <c r="AWW107" s="75"/>
      <c r="AWZ107" s="75"/>
      <c r="AXA107" s="72"/>
      <c r="AXB107" s="68"/>
      <c r="AXC107" s="1"/>
      <c r="AXD107" s="73"/>
      <c r="AXE107" s="74"/>
      <c r="AXG107" s="75"/>
      <c r="AXJ107" s="75"/>
      <c r="AXK107" s="72"/>
      <c r="AXL107" s="68"/>
      <c r="AXM107" s="1"/>
      <c r="AXN107" s="73"/>
      <c r="AXO107" s="74"/>
      <c r="AXQ107" s="75"/>
      <c r="AXT107" s="75"/>
      <c r="AXU107" s="72"/>
      <c r="AXV107" s="68"/>
      <c r="AXW107" s="1"/>
      <c r="AXX107" s="73"/>
      <c r="AXY107" s="74"/>
      <c r="AYA107" s="75"/>
      <c r="AYD107" s="75"/>
      <c r="AYE107" s="72"/>
      <c r="AYF107" s="68"/>
      <c r="AYG107" s="1"/>
      <c r="AYH107" s="73"/>
      <c r="AYI107" s="74"/>
      <c r="AYK107" s="75"/>
      <c r="AYN107" s="75"/>
      <c r="AYO107" s="72"/>
      <c r="AYP107" s="68"/>
      <c r="AYQ107" s="1"/>
      <c r="AYR107" s="73"/>
      <c r="AYS107" s="74"/>
      <c r="AYU107" s="75"/>
      <c r="AYX107" s="75"/>
      <c r="AYY107" s="72"/>
      <c r="AYZ107" s="68"/>
      <c r="AZA107" s="1"/>
      <c r="AZB107" s="73"/>
      <c r="AZC107" s="74"/>
      <c r="AZE107" s="75"/>
      <c r="AZH107" s="75"/>
      <c r="AZI107" s="72"/>
      <c r="AZJ107" s="68"/>
      <c r="AZK107" s="1"/>
      <c r="AZL107" s="73"/>
      <c r="AZM107" s="74"/>
      <c r="AZO107" s="75"/>
      <c r="AZR107" s="75"/>
      <c r="AZS107" s="72"/>
      <c r="AZT107" s="68"/>
      <c r="AZU107" s="1"/>
      <c r="AZV107" s="73"/>
      <c r="AZW107" s="74"/>
      <c r="AZY107" s="75"/>
      <c r="BAB107" s="75"/>
      <c r="BAC107" s="72"/>
      <c r="BAD107" s="68"/>
      <c r="BAE107" s="1"/>
      <c r="BAF107" s="73"/>
      <c r="BAG107" s="74"/>
      <c r="BAI107" s="75"/>
      <c r="BAL107" s="75"/>
      <c r="BAM107" s="72"/>
      <c r="BAN107" s="68"/>
      <c r="BAO107" s="1"/>
      <c r="BAP107" s="73"/>
      <c r="BAQ107" s="74"/>
      <c r="BAS107" s="75"/>
      <c r="BAV107" s="75"/>
      <c r="BAW107" s="72"/>
      <c r="BAX107" s="68"/>
      <c r="BAY107" s="1"/>
      <c r="BAZ107" s="73"/>
      <c r="BBA107" s="74"/>
      <c r="BBC107" s="75"/>
      <c r="BBF107" s="75"/>
      <c r="BBG107" s="72"/>
      <c r="BBH107" s="68"/>
      <c r="BBI107" s="1"/>
      <c r="BBJ107" s="73"/>
      <c r="BBK107" s="74"/>
      <c r="BBM107" s="75"/>
      <c r="BBP107" s="75"/>
      <c r="BBQ107" s="72"/>
      <c r="BBR107" s="68"/>
      <c r="BBS107" s="1"/>
      <c r="BBT107" s="73"/>
      <c r="BBU107" s="74"/>
      <c r="BBW107" s="75"/>
      <c r="BBZ107" s="75"/>
      <c r="BCA107" s="72"/>
      <c r="BCB107" s="68"/>
      <c r="BCC107" s="1"/>
      <c r="BCD107" s="73"/>
      <c r="BCE107" s="74"/>
      <c r="BCG107" s="75"/>
      <c r="BCJ107" s="75"/>
      <c r="BCK107" s="72"/>
      <c r="BCL107" s="68"/>
      <c r="BCM107" s="1"/>
      <c r="BCN107" s="73"/>
      <c r="BCO107" s="74"/>
      <c r="BCQ107" s="75"/>
      <c r="BCT107" s="75"/>
      <c r="BCU107" s="72"/>
      <c r="BCV107" s="68"/>
      <c r="BCW107" s="1"/>
      <c r="BCX107" s="73"/>
      <c r="BCY107" s="74"/>
      <c r="BDA107" s="75"/>
      <c r="BDD107" s="75"/>
      <c r="BDE107" s="72"/>
      <c r="BDF107" s="68"/>
      <c r="BDG107" s="1"/>
      <c r="BDH107" s="73"/>
      <c r="BDI107" s="74"/>
      <c r="BDK107" s="75"/>
      <c r="BDN107" s="75"/>
      <c r="BDO107" s="72"/>
      <c r="BDP107" s="68"/>
      <c r="BDQ107" s="1"/>
      <c r="BDR107" s="73"/>
      <c r="BDS107" s="74"/>
      <c r="BDU107" s="75"/>
      <c r="BDX107" s="75"/>
      <c r="BDY107" s="72"/>
      <c r="BDZ107" s="68"/>
      <c r="BEA107" s="1"/>
      <c r="BEB107" s="73"/>
      <c r="BEC107" s="74"/>
      <c r="BEE107" s="75"/>
      <c r="BEH107" s="75"/>
      <c r="BEI107" s="72"/>
      <c r="BEJ107" s="68"/>
      <c r="BEK107" s="1"/>
      <c r="BEL107" s="73"/>
      <c r="BEM107" s="74"/>
      <c r="BEO107" s="75"/>
      <c r="BER107" s="75"/>
      <c r="BES107" s="72"/>
      <c r="BET107" s="68"/>
      <c r="BEU107" s="1"/>
      <c r="BEV107" s="73"/>
      <c r="BEW107" s="74"/>
      <c r="BEY107" s="75"/>
      <c r="BFB107" s="75"/>
      <c r="BFC107" s="72"/>
      <c r="BFD107" s="68"/>
      <c r="BFE107" s="1"/>
      <c r="BFF107" s="73"/>
      <c r="BFG107" s="74"/>
      <c r="BFI107" s="75"/>
      <c r="BFL107" s="75"/>
      <c r="BFM107" s="72"/>
      <c r="BFN107" s="68"/>
      <c r="BFO107" s="1"/>
      <c r="BFP107" s="73"/>
      <c r="BFQ107" s="74"/>
      <c r="BFS107" s="75"/>
      <c r="BFV107" s="75"/>
      <c r="BFW107" s="72"/>
      <c r="BFX107" s="68"/>
      <c r="BFY107" s="1"/>
      <c r="BFZ107" s="73"/>
      <c r="BGA107" s="74"/>
      <c r="BGC107" s="75"/>
      <c r="BGF107" s="75"/>
      <c r="BGG107" s="72"/>
      <c r="BGH107" s="68"/>
      <c r="BGI107" s="1"/>
      <c r="BGJ107" s="73"/>
      <c r="BGK107" s="74"/>
      <c r="BGM107" s="75"/>
      <c r="BGP107" s="75"/>
      <c r="BGQ107" s="72"/>
      <c r="BGR107" s="68"/>
      <c r="BGS107" s="1"/>
      <c r="BGT107" s="73"/>
      <c r="BGU107" s="74"/>
      <c r="BGW107" s="75"/>
      <c r="BGZ107" s="75"/>
      <c r="BHA107" s="72"/>
      <c r="BHB107" s="68"/>
      <c r="BHC107" s="1"/>
      <c r="BHD107" s="73"/>
      <c r="BHE107" s="74"/>
      <c r="BHG107" s="75"/>
      <c r="BHJ107" s="75"/>
      <c r="BHK107" s="72"/>
      <c r="BHL107" s="68"/>
      <c r="BHM107" s="1"/>
      <c r="BHN107" s="73"/>
      <c r="BHO107" s="74"/>
      <c r="BHQ107" s="75"/>
      <c r="BHT107" s="75"/>
      <c r="BHU107" s="72"/>
      <c r="BHV107" s="68"/>
      <c r="BHW107" s="1"/>
      <c r="BHX107" s="73"/>
      <c r="BHY107" s="74"/>
      <c r="BIA107" s="75"/>
      <c r="BID107" s="75"/>
      <c r="BIE107" s="72"/>
      <c r="BIF107" s="68"/>
      <c r="BIG107" s="1"/>
      <c r="BIH107" s="73"/>
      <c r="BII107" s="74"/>
      <c r="BIK107" s="75"/>
      <c r="BIN107" s="75"/>
      <c r="BIO107" s="72"/>
      <c r="BIP107" s="68"/>
      <c r="BIQ107" s="1"/>
      <c r="BIR107" s="73"/>
      <c r="BIS107" s="74"/>
      <c r="BIU107" s="75"/>
      <c r="BIX107" s="75"/>
      <c r="BIY107" s="72"/>
      <c r="BIZ107" s="68"/>
      <c r="BJA107" s="1"/>
      <c r="BJB107" s="73"/>
      <c r="BJC107" s="74"/>
      <c r="BJE107" s="75"/>
      <c r="BJH107" s="75"/>
      <c r="BJI107" s="72"/>
      <c r="BJJ107" s="68"/>
      <c r="BJK107" s="1"/>
      <c r="BJL107" s="73"/>
      <c r="BJM107" s="74"/>
      <c r="BJO107" s="75"/>
      <c r="BJR107" s="75"/>
      <c r="BJS107" s="72"/>
      <c r="BJT107" s="68"/>
      <c r="BJU107" s="1"/>
      <c r="BJV107" s="73"/>
      <c r="BJW107" s="74"/>
      <c r="BJY107" s="75"/>
      <c r="BKB107" s="75"/>
      <c r="BKC107" s="72"/>
      <c r="BKD107" s="68"/>
      <c r="BKE107" s="1"/>
      <c r="BKF107" s="73"/>
      <c r="BKG107" s="74"/>
      <c r="BKI107" s="75"/>
      <c r="BKL107" s="75"/>
      <c r="BKM107" s="72"/>
      <c r="BKN107" s="68"/>
      <c r="BKO107" s="1"/>
      <c r="BKP107" s="73"/>
      <c r="BKQ107" s="74"/>
      <c r="BKS107" s="75"/>
      <c r="BKV107" s="75"/>
      <c r="BKW107" s="72"/>
      <c r="BKX107" s="68"/>
      <c r="BKY107" s="1"/>
      <c r="BKZ107" s="73"/>
      <c r="BLA107" s="74"/>
      <c r="BLC107" s="75"/>
      <c r="BLF107" s="75"/>
      <c r="BLG107" s="72"/>
      <c r="BLH107" s="68"/>
      <c r="BLI107" s="1"/>
      <c r="BLJ107" s="73"/>
      <c r="BLK107" s="74"/>
      <c r="BLM107" s="75"/>
      <c r="BLP107" s="75"/>
      <c r="BLQ107" s="72"/>
      <c r="BLR107" s="68"/>
      <c r="BLS107" s="1"/>
      <c r="BLT107" s="73"/>
      <c r="BLU107" s="74"/>
      <c r="BLW107" s="75"/>
      <c r="BLZ107" s="75"/>
      <c r="BMA107" s="72"/>
      <c r="BMB107" s="68"/>
      <c r="BMC107" s="1"/>
      <c r="BMD107" s="73"/>
      <c r="BME107" s="74"/>
      <c r="BMG107" s="75"/>
      <c r="BMJ107" s="75"/>
      <c r="BMK107" s="72"/>
      <c r="BML107" s="68"/>
      <c r="BMM107" s="1"/>
      <c r="BMN107" s="73"/>
      <c r="BMO107" s="74"/>
      <c r="BMQ107" s="75"/>
      <c r="BMT107" s="75"/>
      <c r="BMU107" s="72"/>
      <c r="BMV107" s="68"/>
      <c r="BMW107" s="1"/>
      <c r="BMX107" s="73"/>
      <c r="BMY107" s="74"/>
      <c r="BNA107" s="75"/>
      <c r="BND107" s="75"/>
      <c r="BNE107" s="72"/>
      <c r="BNF107" s="68"/>
      <c r="BNG107" s="1"/>
      <c r="BNH107" s="73"/>
      <c r="BNI107" s="74"/>
      <c r="BNK107" s="75"/>
      <c r="BNN107" s="75"/>
      <c r="BNO107" s="72"/>
      <c r="BNP107" s="68"/>
      <c r="BNQ107" s="1"/>
      <c r="BNR107" s="73"/>
      <c r="BNS107" s="74"/>
      <c r="BNU107" s="75"/>
      <c r="BNX107" s="75"/>
      <c r="BNY107" s="72"/>
      <c r="BNZ107" s="68"/>
      <c r="BOA107" s="1"/>
      <c r="BOB107" s="73"/>
      <c r="BOC107" s="74"/>
      <c r="BOE107" s="75"/>
      <c r="BOH107" s="75"/>
      <c r="BOI107" s="72"/>
      <c r="BOJ107" s="68"/>
      <c r="BOK107" s="1"/>
      <c r="BOL107" s="73"/>
      <c r="BOM107" s="74"/>
      <c r="BOO107" s="75"/>
      <c r="BOR107" s="75"/>
      <c r="BOS107" s="72"/>
      <c r="BOT107" s="68"/>
      <c r="BOU107" s="1"/>
      <c r="BOV107" s="73"/>
      <c r="BOW107" s="74"/>
      <c r="BOY107" s="75"/>
      <c r="BPB107" s="75"/>
      <c r="BPC107" s="72"/>
      <c r="BPD107" s="68"/>
      <c r="BPE107" s="1"/>
      <c r="BPF107" s="73"/>
      <c r="BPG107" s="74"/>
      <c r="BPI107" s="75"/>
      <c r="BPL107" s="75"/>
      <c r="BPM107" s="72"/>
      <c r="BPN107" s="68"/>
      <c r="BPO107" s="1"/>
      <c r="BPP107" s="73"/>
      <c r="BPQ107" s="74"/>
      <c r="BPS107" s="75"/>
      <c r="BPV107" s="75"/>
      <c r="BPW107" s="72"/>
      <c r="BPX107" s="68"/>
      <c r="BPY107" s="1"/>
      <c r="BPZ107" s="73"/>
      <c r="BQA107" s="74"/>
      <c r="BQC107" s="75"/>
      <c r="BQF107" s="75"/>
      <c r="BQG107" s="72"/>
      <c r="BQH107" s="68"/>
      <c r="BQI107" s="1"/>
      <c r="BQJ107" s="73"/>
      <c r="BQK107" s="74"/>
      <c r="BQM107" s="75"/>
      <c r="BQP107" s="75"/>
      <c r="BQQ107" s="72"/>
      <c r="BQR107" s="68"/>
      <c r="BQS107" s="1"/>
      <c r="BQT107" s="73"/>
      <c r="BQU107" s="74"/>
      <c r="BQW107" s="75"/>
      <c r="BQZ107" s="75"/>
      <c r="BRA107" s="72"/>
      <c r="BRB107" s="68"/>
      <c r="BRC107" s="1"/>
      <c r="BRD107" s="73"/>
      <c r="BRE107" s="74"/>
      <c r="BRG107" s="75"/>
      <c r="BRJ107" s="75"/>
      <c r="BRK107" s="72"/>
      <c r="BRL107" s="68"/>
      <c r="BRM107" s="1"/>
      <c r="BRN107" s="73"/>
      <c r="BRO107" s="74"/>
      <c r="BRQ107" s="75"/>
      <c r="BRT107" s="75"/>
      <c r="BRU107" s="72"/>
      <c r="BRV107" s="68"/>
      <c r="BRW107" s="1"/>
      <c r="BRX107" s="73"/>
      <c r="BRY107" s="74"/>
      <c r="BSA107" s="75"/>
      <c r="BSD107" s="75"/>
      <c r="BSE107" s="72"/>
      <c r="BSF107" s="68"/>
      <c r="BSG107" s="1"/>
      <c r="BSH107" s="73"/>
      <c r="BSI107" s="74"/>
      <c r="BSK107" s="75"/>
      <c r="BSN107" s="75"/>
      <c r="BSO107" s="72"/>
      <c r="BSP107" s="68"/>
      <c r="BSQ107" s="1"/>
      <c r="BSR107" s="73"/>
      <c r="BSS107" s="74"/>
      <c r="BSU107" s="75"/>
      <c r="BSX107" s="75"/>
      <c r="BSY107" s="72"/>
      <c r="BSZ107" s="68"/>
      <c r="BTA107" s="1"/>
      <c r="BTB107" s="73"/>
      <c r="BTC107" s="74"/>
      <c r="BTE107" s="75"/>
      <c r="BTH107" s="75"/>
      <c r="BTI107" s="72"/>
      <c r="BTJ107" s="68"/>
      <c r="BTK107" s="1"/>
      <c r="BTL107" s="73"/>
      <c r="BTM107" s="74"/>
      <c r="BTO107" s="75"/>
      <c r="BTR107" s="75"/>
      <c r="BTS107" s="72"/>
      <c r="BTT107" s="68"/>
      <c r="BTU107" s="1"/>
      <c r="BTV107" s="73"/>
      <c r="BTW107" s="74"/>
      <c r="BTY107" s="75"/>
      <c r="BUB107" s="75"/>
      <c r="BUC107" s="72"/>
      <c r="BUD107" s="68"/>
      <c r="BUE107" s="1"/>
      <c r="BUF107" s="73"/>
      <c r="BUG107" s="74"/>
      <c r="BUI107" s="75"/>
      <c r="BUL107" s="75"/>
      <c r="BUM107" s="72"/>
      <c r="BUN107" s="68"/>
      <c r="BUO107" s="1"/>
      <c r="BUP107" s="73"/>
      <c r="BUQ107" s="74"/>
      <c r="BUS107" s="75"/>
      <c r="BUV107" s="75"/>
      <c r="BUW107" s="72"/>
      <c r="BUX107" s="68"/>
      <c r="BUY107" s="1"/>
      <c r="BUZ107" s="73"/>
      <c r="BVA107" s="74"/>
      <c r="BVC107" s="75"/>
      <c r="BVF107" s="75"/>
      <c r="BVG107" s="72"/>
      <c r="BVH107" s="68"/>
      <c r="BVI107" s="1"/>
      <c r="BVJ107" s="73"/>
      <c r="BVK107" s="74"/>
      <c r="BVM107" s="75"/>
      <c r="BVP107" s="75"/>
      <c r="BVQ107" s="72"/>
      <c r="BVR107" s="68"/>
      <c r="BVS107" s="1"/>
      <c r="BVT107" s="73"/>
      <c r="BVU107" s="74"/>
      <c r="BVW107" s="75"/>
      <c r="BVZ107" s="75"/>
      <c r="BWA107" s="72"/>
      <c r="BWB107" s="68"/>
      <c r="BWC107" s="1"/>
      <c r="BWD107" s="73"/>
      <c r="BWE107" s="74"/>
      <c r="BWG107" s="75"/>
      <c r="BWJ107" s="75"/>
      <c r="BWK107" s="72"/>
      <c r="BWL107" s="68"/>
      <c r="BWM107" s="1"/>
      <c r="BWN107" s="73"/>
      <c r="BWO107" s="74"/>
      <c r="BWQ107" s="75"/>
      <c r="BWT107" s="75"/>
      <c r="BWU107" s="72"/>
      <c r="BWV107" s="68"/>
      <c r="BWW107" s="1"/>
      <c r="BWX107" s="73"/>
      <c r="BWY107" s="74"/>
      <c r="BXA107" s="75"/>
      <c r="BXD107" s="75"/>
      <c r="BXE107" s="72"/>
      <c r="BXF107" s="68"/>
      <c r="BXG107" s="1"/>
      <c r="BXH107" s="73"/>
      <c r="BXI107" s="74"/>
      <c r="BXK107" s="75"/>
      <c r="BXN107" s="75"/>
      <c r="BXO107" s="72"/>
      <c r="BXP107" s="68"/>
      <c r="BXQ107" s="1"/>
      <c r="BXR107" s="73"/>
      <c r="BXS107" s="74"/>
      <c r="BXU107" s="75"/>
      <c r="BXX107" s="75"/>
      <c r="BXY107" s="72"/>
      <c r="BXZ107" s="68"/>
      <c r="BYA107" s="1"/>
      <c r="BYB107" s="73"/>
      <c r="BYC107" s="74"/>
      <c r="BYE107" s="75"/>
      <c r="BYH107" s="75"/>
      <c r="BYI107" s="72"/>
      <c r="BYJ107" s="68"/>
      <c r="BYK107" s="1"/>
      <c r="BYL107" s="73"/>
      <c r="BYM107" s="74"/>
      <c r="BYO107" s="75"/>
      <c r="BYR107" s="75"/>
      <c r="BYS107" s="72"/>
      <c r="BYT107" s="68"/>
      <c r="BYU107" s="1"/>
      <c r="BYV107" s="73"/>
      <c r="BYW107" s="74"/>
      <c r="BYY107" s="75"/>
      <c r="BZB107" s="75"/>
      <c r="BZC107" s="72"/>
      <c r="BZD107" s="68"/>
      <c r="BZE107" s="1"/>
      <c r="BZF107" s="73"/>
      <c r="BZG107" s="74"/>
      <c r="BZI107" s="75"/>
      <c r="BZL107" s="75"/>
      <c r="BZM107" s="72"/>
      <c r="BZN107" s="68"/>
      <c r="BZO107" s="1"/>
      <c r="BZP107" s="73"/>
      <c r="BZQ107" s="74"/>
      <c r="BZS107" s="75"/>
      <c r="BZV107" s="75"/>
      <c r="BZW107" s="72"/>
      <c r="BZX107" s="68"/>
      <c r="BZY107" s="1"/>
      <c r="BZZ107" s="73"/>
      <c r="CAA107" s="74"/>
      <c r="CAC107" s="75"/>
      <c r="CAF107" s="75"/>
      <c r="CAG107" s="72"/>
      <c r="CAH107" s="68"/>
      <c r="CAI107" s="1"/>
      <c r="CAJ107" s="73"/>
      <c r="CAK107" s="74"/>
      <c r="CAM107" s="75"/>
      <c r="CAP107" s="75"/>
      <c r="CAQ107" s="72"/>
      <c r="CAR107" s="68"/>
      <c r="CAS107" s="1"/>
      <c r="CAT107" s="73"/>
      <c r="CAU107" s="74"/>
      <c r="CAW107" s="75"/>
      <c r="CAZ107" s="75"/>
      <c r="CBA107" s="72"/>
      <c r="CBB107" s="68"/>
      <c r="CBC107" s="1"/>
      <c r="CBD107" s="73"/>
      <c r="CBE107" s="74"/>
      <c r="CBG107" s="75"/>
      <c r="CBJ107" s="75"/>
      <c r="CBK107" s="72"/>
      <c r="CBL107" s="68"/>
      <c r="CBM107" s="1"/>
      <c r="CBN107" s="73"/>
      <c r="CBO107" s="74"/>
      <c r="CBQ107" s="75"/>
      <c r="CBT107" s="75"/>
      <c r="CBU107" s="72"/>
      <c r="CBV107" s="68"/>
      <c r="CBW107" s="1"/>
      <c r="CBX107" s="73"/>
      <c r="CBY107" s="74"/>
      <c r="CCA107" s="75"/>
      <c r="CCD107" s="75"/>
      <c r="CCE107" s="72"/>
      <c r="CCF107" s="68"/>
      <c r="CCG107" s="1"/>
      <c r="CCH107" s="73"/>
      <c r="CCI107" s="74"/>
      <c r="CCK107" s="75"/>
      <c r="CCN107" s="75"/>
      <c r="CCO107" s="72"/>
      <c r="CCP107" s="68"/>
      <c r="CCQ107" s="1"/>
      <c r="CCR107" s="73"/>
      <c r="CCS107" s="74"/>
      <c r="CCU107" s="75"/>
      <c r="CCX107" s="75"/>
      <c r="CCY107" s="72"/>
      <c r="CCZ107" s="68"/>
      <c r="CDA107" s="1"/>
      <c r="CDB107" s="73"/>
      <c r="CDC107" s="74"/>
      <c r="CDE107" s="75"/>
      <c r="CDH107" s="75"/>
      <c r="CDI107" s="72"/>
      <c r="CDJ107" s="68"/>
      <c r="CDK107" s="1"/>
      <c r="CDL107" s="73"/>
      <c r="CDM107" s="74"/>
      <c r="CDO107" s="75"/>
      <c r="CDR107" s="75"/>
      <c r="CDS107" s="72"/>
      <c r="CDT107" s="68"/>
      <c r="CDU107" s="1"/>
      <c r="CDV107" s="73"/>
      <c r="CDW107" s="74"/>
      <c r="CDY107" s="75"/>
      <c r="CEB107" s="75"/>
      <c r="CEC107" s="72"/>
      <c r="CED107" s="68"/>
      <c r="CEE107" s="1"/>
      <c r="CEF107" s="73"/>
      <c r="CEG107" s="74"/>
      <c r="CEI107" s="75"/>
      <c r="CEL107" s="75"/>
      <c r="CEM107" s="72"/>
      <c r="CEN107" s="68"/>
      <c r="CEO107" s="1"/>
      <c r="CEP107" s="73"/>
      <c r="CEQ107" s="74"/>
      <c r="CES107" s="75"/>
      <c r="CEV107" s="75"/>
      <c r="CEW107" s="72"/>
      <c r="CEX107" s="68"/>
      <c r="CEY107" s="1"/>
      <c r="CEZ107" s="73"/>
      <c r="CFA107" s="74"/>
      <c r="CFC107" s="75"/>
      <c r="CFF107" s="75"/>
      <c r="CFG107" s="72"/>
      <c r="CFH107" s="68"/>
      <c r="CFI107" s="1"/>
      <c r="CFJ107" s="73"/>
      <c r="CFK107" s="74"/>
      <c r="CFM107" s="75"/>
      <c r="CFP107" s="75"/>
      <c r="CFQ107" s="72"/>
      <c r="CFR107" s="68"/>
      <c r="CFS107" s="1"/>
      <c r="CFT107" s="73"/>
      <c r="CFU107" s="74"/>
      <c r="CFW107" s="75"/>
      <c r="CFZ107" s="75"/>
      <c r="CGA107" s="72"/>
      <c r="CGB107" s="68"/>
      <c r="CGC107" s="1"/>
      <c r="CGD107" s="73"/>
      <c r="CGE107" s="74"/>
      <c r="CGG107" s="75"/>
      <c r="CGJ107" s="75"/>
      <c r="CGK107" s="72"/>
      <c r="CGL107" s="68"/>
      <c r="CGM107" s="1"/>
      <c r="CGN107" s="73"/>
      <c r="CGO107" s="74"/>
      <c r="CGQ107" s="75"/>
      <c r="CGT107" s="75"/>
      <c r="CGU107" s="72"/>
      <c r="CGV107" s="68"/>
      <c r="CGW107" s="1"/>
      <c r="CGX107" s="73"/>
      <c r="CGY107" s="74"/>
      <c r="CHA107" s="75"/>
      <c r="CHD107" s="75"/>
      <c r="CHE107" s="72"/>
      <c r="CHF107" s="68"/>
      <c r="CHG107" s="1"/>
      <c r="CHH107" s="73"/>
      <c r="CHI107" s="74"/>
      <c r="CHK107" s="75"/>
      <c r="CHN107" s="75"/>
      <c r="CHO107" s="72"/>
      <c r="CHP107" s="68"/>
      <c r="CHQ107" s="1"/>
      <c r="CHR107" s="73"/>
      <c r="CHS107" s="74"/>
      <c r="CHU107" s="75"/>
      <c r="CHX107" s="75"/>
      <c r="CHY107" s="72"/>
      <c r="CHZ107" s="68"/>
      <c r="CIA107" s="1"/>
      <c r="CIB107" s="73"/>
      <c r="CIC107" s="74"/>
      <c r="CIE107" s="75"/>
      <c r="CIH107" s="75"/>
      <c r="CII107" s="72"/>
      <c r="CIJ107" s="68"/>
      <c r="CIK107" s="1"/>
      <c r="CIL107" s="73"/>
      <c r="CIM107" s="74"/>
      <c r="CIO107" s="75"/>
      <c r="CIR107" s="75"/>
      <c r="CIS107" s="72"/>
      <c r="CIT107" s="68"/>
      <c r="CIU107" s="1"/>
      <c r="CIV107" s="73"/>
      <c r="CIW107" s="74"/>
      <c r="CIY107" s="75"/>
      <c r="CJB107" s="75"/>
      <c r="CJC107" s="72"/>
      <c r="CJD107" s="68"/>
      <c r="CJE107" s="1"/>
      <c r="CJF107" s="73"/>
      <c r="CJG107" s="74"/>
      <c r="CJI107" s="75"/>
      <c r="CJL107" s="75"/>
      <c r="CJM107" s="72"/>
      <c r="CJN107" s="68"/>
      <c r="CJO107" s="1"/>
      <c r="CJP107" s="73"/>
      <c r="CJQ107" s="74"/>
      <c r="CJS107" s="75"/>
      <c r="CJV107" s="75"/>
      <c r="CJW107" s="72"/>
      <c r="CJX107" s="68"/>
      <c r="CJY107" s="1"/>
      <c r="CJZ107" s="73"/>
      <c r="CKA107" s="74"/>
      <c r="CKC107" s="75"/>
      <c r="CKF107" s="75"/>
      <c r="CKG107" s="72"/>
      <c r="CKH107" s="68"/>
      <c r="CKI107" s="1"/>
      <c r="CKJ107" s="73"/>
      <c r="CKK107" s="74"/>
      <c r="CKM107" s="75"/>
      <c r="CKP107" s="75"/>
      <c r="CKQ107" s="72"/>
      <c r="CKR107" s="68"/>
      <c r="CKS107" s="1"/>
      <c r="CKT107" s="73"/>
      <c r="CKU107" s="74"/>
      <c r="CKW107" s="75"/>
      <c r="CKZ107" s="75"/>
      <c r="CLA107" s="72"/>
      <c r="CLB107" s="68"/>
      <c r="CLC107" s="1"/>
      <c r="CLD107" s="73"/>
      <c r="CLE107" s="74"/>
      <c r="CLG107" s="75"/>
      <c r="CLJ107" s="75"/>
      <c r="CLK107" s="72"/>
      <c r="CLL107" s="68"/>
      <c r="CLM107" s="1"/>
      <c r="CLN107" s="73"/>
      <c r="CLO107" s="74"/>
      <c r="CLQ107" s="75"/>
      <c r="CLT107" s="75"/>
      <c r="CLU107" s="72"/>
      <c r="CLV107" s="68"/>
      <c r="CLW107" s="1"/>
      <c r="CLX107" s="73"/>
      <c r="CLY107" s="74"/>
      <c r="CMA107" s="75"/>
      <c r="CMD107" s="75"/>
      <c r="CME107" s="72"/>
      <c r="CMF107" s="68"/>
      <c r="CMG107" s="1"/>
      <c r="CMH107" s="73"/>
      <c r="CMI107" s="74"/>
      <c r="CMK107" s="75"/>
      <c r="CMN107" s="75"/>
      <c r="CMO107" s="72"/>
      <c r="CMP107" s="68"/>
      <c r="CMQ107" s="1"/>
      <c r="CMR107" s="73"/>
      <c r="CMS107" s="74"/>
      <c r="CMU107" s="75"/>
      <c r="CMX107" s="75"/>
      <c r="CMY107" s="72"/>
      <c r="CMZ107" s="68"/>
      <c r="CNA107" s="1"/>
      <c r="CNB107" s="73"/>
      <c r="CNC107" s="74"/>
      <c r="CNE107" s="75"/>
      <c r="CNH107" s="75"/>
      <c r="CNI107" s="72"/>
      <c r="CNJ107" s="68"/>
      <c r="CNK107" s="1"/>
      <c r="CNL107" s="73"/>
      <c r="CNM107" s="74"/>
      <c r="CNO107" s="75"/>
      <c r="CNR107" s="75"/>
      <c r="CNS107" s="72"/>
      <c r="CNT107" s="68"/>
      <c r="CNU107" s="1"/>
      <c r="CNV107" s="73"/>
      <c r="CNW107" s="74"/>
      <c r="CNY107" s="75"/>
      <c r="COB107" s="75"/>
      <c r="COC107" s="72"/>
      <c r="COD107" s="68"/>
      <c r="COE107" s="1"/>
      <c r="COF107" s="73"/>
      <c r="COG107" s="74"/>
      <c r="COI107" s="75"/>
      <c r="COL107" s="75"/>
      <c r="COM107" s="72"/>
      <c r="CON107" s="68"/>
      <c r="COO107" s="1"/>
      <c r="COP107" s="73"/>
      <c r="COQ107" s="74"/>
      <c r="COS107" s="75"/>
      <c r="COV107" s="75"/>
      <c r="COW107" s="72"/>
      <c r="COX107" s="68"/>
      <c r="COY107" s="1"/>
      <c r="COZ107" s="73"/>
      <c r="CPA107" s="74"/>
      <c r="CPC107" s="75"/>
      <c r="CPF107" s="75"/>
      <c r="CPG107" s="72"/>
      <c r="CPH107" s="68"/>
      <c r="CPI107" s="1"/>
      <c r="CPJ107" s="73"/>
      <c r="CPK107" s="74"/>
      <c r="CPM107" s="75"/>
      <c r="CPP107" s="75"/>
      <c r="CPQ107" s="72"/>
      <c r="CPR107" s="68"/>
      <c r="CPS107" s="1"/>
      <c r="CPT107" s="73"/>
      <c r="CPU107" s="74"/>
      <c r="CPW107" s="75"/>
      <c r="CPZ107" s="75"/>
      <c r="CQA107" s="72"/>
      <c r="CQB107" s="68"/>
      <c r="CQC107" s="1"/>
      <c r="CQD107" s="73"/>
      <c r="CQE107" s="74"/>
      <c r="CQG107" s="75"/>
      <c r="CQJ107" s="75"/>
      <c r="CQK107" s="72"/>
      <c r="CQL107" s="68"/>
      <c r="CQM107" s="1"/>
      <c r="CQN107" s="73"/>
      <c r="CQO107" s="74"/>
      <c r="CQQ107" s="75"/>
      <c r="CQT107" s="75"/>
      <c r="CQU107" s="72"/>
      <c r="CQV107" s="68"/>
      <c r="CQW107" s="1"/>
      <c r="CQX107" s="73"/>
      <c r="CQY107" s="74"/>
      <c r="CRA107" s="75"/>
      <c r="CRD107" s="75"/>
      <c r="CRE107" s="72"/>
      <c r="CRF107" s="68"/>
      <c r="CRG107" s="1"/>
      <c r="CRH107" s="73"/>
      <c r="CRI107" s="74"/>
      <c r="CRK107" s="75"/>
      <c r="CRN107" s="75"/>
      <c r="CRO107" s="72"/>
      <c r="CRP107" s="68"/>
      <c r="CRQ107" s="1"/>
      <c r="CRR107" s="73"/>
      <c r="CRS107" s="74"/>
      <c r="CRU107" s="75"/>
      <c r="CRX107" s="75"/>
      <c r="CRY107" s="72"/>
      <c r="CRZ107" s="68"/>
      <c r="CSA107" s="1"/>
      <c r="CSB107" s="73"/>
      <c r="CSC107" s="74"/>
      <c r="CSE107" s="75"/>
      <c r="CSH107" s="75"/>
      <c r="CSI107" s="72"/>
      <c r="CSJ107" s="68"/>
      <c r="CSK107" s="1"/>
      <c r="CSL107" s="73"/>
      <c r="CSM107" s="74"/>
      <c r="CSO107" s="75"/>
      <c r="CSR107" s="75"/>
      <c r="CSS107" s="72"/>
      <c r="CST107" s="68"/>
      <c r="CSU107" s="1"/>
      <c r="CSV107" s="73"/>
      <c r="CSW107" s="74"/>
      <c r="CSY107" s="75"/>
      <c r="CTB107" s="75"/>
      <c r="CTC107" s="72"/>
      <c r="CTD107" s="68"/>
      <c r="CTE107" s="1"/>
      <c r="CTF107" s="73"/>
      <c r="CTG107" s="74"/>
      <c r="CTI107" s="75"/>
      <c r="CTL107" s="75"/>
      <c r="CTM107" s="72"/>
      <c r="CTN107" s="68"/>
      <c r="CTO107" s="1"/>
      <c r="CTP107" s="73"/>
      <c r="CTQ107" s="74"/>
      <c r="CTS107" s="75"/>
      <c r="CTV107" s="75"/>
      <c r="CTW107" s="72"/>
      <c r="CTX107" s="68"/>
      <c r="CTY107" s="1"/>
      <c r="CTZ107" s="73"/>
      <c r="CUA107" s="74"/>
      <c r="CUC107" s="75"/>
      <c r="CUF107" s="75"/>
      <c r="CUG107" s="72"/>
      <c r="CUH107" s="68"/>
      <c r="CUI107" s="1"/>
      <c r="CUJ107" s="73"/>
      <c r="CUK107" s="74"/>
      <c r="CUM107" s="75"/>
      <c r="CUP107" s="75"/>
      <c r="CUQ107" s="72"/>
      <c r="CUR107" s="68"/>
      <c r="CUS107" s="1"/>
      <c r="CUT107" s="73"/>
      <c r="CUU107" s="74"/>
      <c r="CUW107" s="75"/>
      <c r="CUZ107" s="75"/>
      <c r="CVA107" s="72"/>
      <c r="CVB107" s="68"/>
      <c r="CVC107" s="1"/>
      <c r="CVD107" s="73"/>
      <c r="CVE107" s="74"/>
      <c r="CVG107" s="75"/>
      <c r="CVJ107" s="75"/>
      <c r="CVK107" s="72"/>
      <c r="CVL107" s="68"/>
      <c r="CVM107" s="1"/>
      <c r="CVN107" s="73"/>
      <c r="CVO107" s="74"/>
      <c r="CVQ107" s="75"/>
      <c r="CVT107" s="75"/>
      <c r="CVU107" s="72"/>
      <c r="CVV107" s="68"/>
      <c r="CVW107" s="1"/>
      <c r="CVX107" s="73"/>
      <c r="CVY107" s="74"/>
      <c r="CWA107" s="75"/>
      <c r="CWD107" s="75"/>
      <c r="CWE107" s="72"/>
      <c r="CWF107" s="68"/>
      <c r="CWG107" s="1"/>
      <c r="CWH107" s="73"/>
      <c r="CWI107" s="74"/>
      <c r="CWK107" s="75"/>
      <c r="CWN107" s="75"/>
      <c r="CWO107" s="72"/>
      <c r="CWP107" s="68"/>
      <c r="CWQ107" s="1"/>
      <c r="CWR107" s="73"/>
      <c r="CWS107" s="74"/>
      <c r="CWU107" s="75"/>
      <c r="CWX107" s="75"/>
      <c r="CWY107" s="72"/>
      <c r="CWZ107" s="68"/>
      <c r="CXA107" s="1"/>
      <c r="CXB107" s="73"/>
      <c r="CXC107" s="74"/>
      <c r="CXE107" s="75"/>
      <c r="CXH107" s="75"/>
      <c r="CXI107" s="72"/>
      <c r="CXJ107" s="68"/>
      <c r="CXK107" s="1"/>
      <c r="CXL107" s="73"/>
      <c r="CXM107" s="74"/>
      <c r="CXO107" s="75"/>
      <c r="CXR107" s="75"/>
      <c r="CXS107" s="72"/>
      <c r="CXT107" s="68"/>
      <c r="CXU107" s="1"/>
      <c r="CXV107" s="73"/>
      <c r="CXW107" s="74"/>
      <c r="CXY107" s="75"/>
      <c r="CYB107" s="75"/>
      <c r="CYC107" s="72"/>
      <c r="CYD107" s="68"/>
      <c r="CYE107" s="1"/>
      <c r="CYF107" s="73"/>
      <c r="CYG107" s="74"/>
      <c r="CYI107" s="75"/>
      <c r="CYL107" s="75"/>
      <c r="CYM107" s="72"/>
      <c r="CYN107" s="68"/>
      <c r="CYO107" s="1"/>
      <c r="CYP107" s="73"/>
      <c r="CYQ107" s="74"/>
      <c r="CYS107" s="75"/>
      <c r="CYV107" s="75"/>
      <c r="CYW107" s="72"/>
      <c r="CYX107" s="68"/>
      <c r="CYY107" s="1"/>
      <c r="CYZ107" s="73"/>
      <c r="CZA107" s="74"/>
      <c r="CZC107" s="75"/>
      <c r="CZF107" s="75"/>
      <c r="CZG107" s="72"/>
      <c r="CZH107" s="68"/>
      <c r="CZI107" s="1"/>
      <c r="CZJ107" s="73"/>
      <c r="CZK107" s="74"/>
      <c r="CZM107" s="75"/>
      <c r="CZP107" s="75"/>
      <c r="CZQ107" s="72"/>
      <c r="CZR107" s="68"/>
      <c r="CZS107" s="1"/>
      <c r="CZT107" s="73"/>
      <c r="CZU107" s="74"/>
      <c r="CZW107" s="75"/>
      <c r="CZZ107" s="75"/>
      <c r="DAA107" s="72"/>
      <c r="DAB107" s="68"/>
      <c r="DAC107" s="1"/>
      <c r="DAD107" s="73"/>
      <c r="DAE107" s="74"/>
      <c r="DAG107" s="75"/>
      <c r="DAJ107" s="75"/>
      <c r="DAK107" s="72"/>
      <c r="DAL107" s="68"/>
      <c r="DAM107" s="1"/>
      <c r="DAN107" s="73"/>
      <c r="DAO107" s="74"/>
      <c r="DAQ107" s="75"/>
      <c r="DAT107" s="75"/>
      <c r="DAU107" s="72"/>
      <c r="DAV107" s="68"/>
      <c r="DAW107" s="1"/>
      <c r="DAX107" s="73"/>
      <c r="DAY107" s="74"/>
      <c r="DBA107" s="75"/>
      <c r="DBD107" s="75"/>
      <c r="DBE107" s="72"/>
      <c r="DBF107" s="68"/>
      <c r="DBG107" s="1"/>
      <c r="DBH107" s="73"/>
      <c r="DBI107" s="74"/>
      <c r="DBK107" s="75"/>
      <c r="DBN107" s="75"/>
      <c r="DBO107" s="72"/>
      <c r="DBP107" s="68"/>
      <c r="DBQ107" s="1"/>
      <c r="DBR107" s="73"/>
      <c r="DBS107" s="74"/>
      <c r="DBU107" s="75"/>
      <c r="DBX107" s="75"/>
      <c r="DBY107" s="72"/>
      <c r="DBZ107" s="68"/>
      <c r="DCA107" s="1"/>
      <c r="DCB107" s="73"/>
      <c r="DCC107" s="74"/>
      <c r="DCE107" s="75"/>
      <c r="DCH107" s="75"/>
      <c r="DCI107" s="72"/>
      <c r="DCJ107" s="68"/>
      <c r="DCK107" s="1"/>
      <c r="DCL107" s="73"/>
      <c r="DCM107" s="74"/>
      <c r="DCO107" s="75"/>
      <c r="DCR107" s="75"/>
      <c r="DCS107" s="72"/>
      <c r="DCT107" s="68"/>
      <c r="DCU107" s="1"/>
      <c r="DCV107" s="73"/>
      <c r="DCW107" s="74"/>
      <c r="DCY107" s="75"/>
      <c r="DDB107" s="75"/>
      <c r="DDC107" s="72"/>
      <c r="DDD107" s="68"/>
      <c r="DDE107" s="1"/>
      <c r="DDF107" s="73"/>
      <c r="DDG107" s="74"/>
      <c r="DDI107" s="75"/>
      <c r="DDL107" s="75"/>
      <c r="DDM107" s="72"/>
      <c r="DDN107" s="68"/>
      <c r="DDO107" s="1"/>
      <c r="DDP107" s="73"/>
      <c r="DDQ107" s="74"/>
      <c r="DDS107" s="75"/>
      <c r="DDV107" s="75"/>
      <c r="DDW107" s="72"/>
      <c r="DDX107" s="68"/>
      <c r="DDY107" s="1"/>
      <c r="DDZ107" s="73"/>
      <c r="DEA107" s="74"/>
      <c r="DEC107" s="75"/>
      <c r="DEF107" s="75"/>
      <c r="DEG107" s="72"/>
      <c r="DEH107" s="68"/>
      <c r="DEI107" s="1"/>
      <c r="DEJ107" s="73"/>
      <c r="DEK107" s="74"/>
      <c r="DEM107" s="75"/>
      <c r="DEP107" s="75"/>
      <c r="DEQ107" s="72"/>
      <c r="DER107" s="68"/>
      <c r="DES107" s="1"/>
      <c r="DET107" s="73"/>
      <c r="DEU107" s="74"/>
      <c r="DEW107" s="75"/>
      <c r="DEZ107" s="75"/>
      <c r="DFA107" s="72"/>
      <c r="DFB107" s="68"/>
      <c r="DFC107" s="1"/>
      <c r="DFD107" s="73"/>
      <c r="DFE107" s="74"/>
      <c r="DFG107" s="75"/>
      <c r="DFJ107" s="75"/>
      <c r="DFK107" s="72"/>
      <c r="DFL107" s="68"/>
      <c r="DFM107" s="1"/>
      <c r="DFN107" s="73"/>
      <c r="DFO107" s="74"/>
      <c r="DFQ107" s="75"/>
      <c r="DFT107" s="75"/>
      <c r="DFU107" s="72"/>
      <c r="DFV107" s="68"/>
      <c r="DFW107" s="1"/>
      <c r="DFX107" s="73"/>
      <c r="DFY107" s="74"/>
      <c r="DGA107" s="75"/>
      <c r="DGD107" s="75"/>
      <c r="DGE107" s="72"/>
      <c r="DGF107" s="68"/>
      <c r="DGG107" s="1"/>
      <c r="DGH107" s="73"/>
      <c r="DGI107" s="74"/>
      <c r="DGK107" s="75"/>
      <c r="DGN107" s="75"/>
      <c r="DGO107" s="72"/>
      <c r="DGP107" s="68"/>
      <c r="DGQ107" s="1"/>
      <c r="DGR107" s="73"/>
      <c r="DGS107" s="74"/>
      <c r="DGU107" s="75"/>
      <c r="DGX107" s="75"/>
      <c r="DGY107" s="72"/>
      <c r="DGZ107" s="68"/>
      <c r="DHA107" s="1"/>
      <c r="DHB107" s="73"/>
      <c r="DHC107" s="74"/>
      <c r="DHE107" s="75"/>
      <c r="DHH107" s="75"/>
      <c r="DHI107" s="72"/>
      <c r="DHJ107" s="68"/>
      <c r="DHK107" s="1"/>
      <c r="DHL107" s="73"/>
      <c r="DHM107" s="74"/>
      <c r="DHO107" s="75"/>
      <c r="DHR107" s="75"/>
      <c r="DHS107" s="72"/>
      <c r="DHT107" s="68"/>
      <c r="DHU107" s="1"/>
      <c r="DHV107" s="73"/>
      <c r="DHW107" s="74"/>
      <c r="DHY107" s="75"/>
      <c r="DIB107" s="75"/>
      <c r="DIC107" s="72"/>
      <c r="DID107" s="68"/>
      <c r="DIE107" s="1"/>
      <c r="DIF107" s="73"/>
      <c r="DIG107" s="74"/>
      <c r="DII107" s="75"/>
      <c r="DIL107" s="75"/>
      <c r="DIM107" s="72"/>
      <c r="DIN107" s="68"/>
      <c r="DIO107" s="1"/>
      <c r="DIP107" s="73"/>
      <c r="DIQ107" s="74"/>
      <c r="DIS107" s="75"/>
      <c r="DIV107" s="75"/>
      <c r="DIW107" s="72"/>
      <c r="DIX107" s="68"/>
      <c r="DIY107" s="1"/>
      <c r="DIZ107" s="73"/>
      <c r="DJA107" s="74"/>
      <c r="DJC107" s="75"/>
      <c r="DJF107" s="75"/>
      <c r="DJG107" s="72"/>
      <c r="DJH107" s="68"/>
      <c r="DJI107" s="1"/>
      <c r="DJJ107" s="73"/>
      <c r="DJK107" s="74"/>
      <c r="DJM107" s="75"/>
      <c r="DJP107" s="75"/>
      <c r="DJQ107" s="72"/>
      <c r="DJR107" s="68"/>
      <c r="DJS107" s="1"/>
      <c r="DJT107" s="73"/>
      <c r="DJU107" s="74"/>
      <c r="DJW107" s="75"/>
      <c r="DJZ107" s="75"/>
      <c r="DKA107" s="72"/>
      <c r="DKB107" s="68"/>
      <c r="DKC107" s="1"/>
      <c r="DKD107" s="73"/>
      <c r="DKE107" s="74"/>
      <c r="DKG107" s="75"/>
      <c r="DKJ107" s="75"/>
      <c r="DKK107" s="72"/>
      <c r="DKL107" s="68"/>
      <c r="DKM107" s="1"/>
      <c r="DKN107" s="73"/>
      <c r="DKO107" s="74"/>
      <c r="DKQ107" s="75"/>
      <c r="DKT107" s="75"/>
      <c r="DKU107" s="72"/>
      <c r="DKV107" s="68"/>
      <c r="DKW107" s="1"/>
      <c r="DKX107" s="73"/>
      <c r="DKY107" s="74"/>
      <c r="DLA107" s="75"/>
      <c r="DLD107" s="75"/>
      <c r="DLE107" s="72"/>
      <c r="DLF107" s="68"/>
      <c r="DLG107" s="1"/>
      <c r="DLH107" s="73"/>
      <c r="DLI107" s="74"/>
      <c r="DLK107" s="75"/>
      <c r="DLN107" s="75"/>
      <c r="DLO107" s="72"/>
      <c r="DLP107" s="68"/>
      <c r="DLQ107" s="1"/>
      <c r="DLR107" s="73"/>
      <c r="DLS107" s="74"/>
      <c r="DLU107" s="75"/>
      <c r="DLX107" s="75"/>
      <c r="DLY107" s="72"/>
      <c r="DLZ107" s="68"/>
      <c r="DMA107" s="1"/>
      <c r="DMB107" s="73"/>
      <c r="DMC107" s="74"/>
      <c r="DME107" s="75"/>
      <c r="DMH107" s="75"/>
      <c r="DMI107" s="72"/>
      <c r="DMJ107" s="68"/>
      <c r="DMK107" s="1"/>
      <c r="DML107" s="73"/>
      <c r="DMM107" s="74"/>
      <c r="DMO107" s="75"/>
      <c r="DMR107" s="75"/>
      <c r="DMS107" s="72"/>
      <c r="DMT107" s="68"/>
      <c r="DMU107" s="1"/>
      <c r="DMV107" s="73"/>
      <c r="DMW107" s="74"/>
      <c r="DMY107" s="75"/>
      <c r="DNB107" s="75"/>
      <c r="DNC107" s="72"/>
      <c r="DND107" s="68"/>
      <c r="DNE107" s="1"/>
      <c r="DNF107" s="73"/>
      <c r="DNG107" s="74"/>
      <c r="DNI107" s="75"/>
      <c r="DNL107" s="75"/>
      <c r="DNM107" s="72"/>
      <c r="DNN107" s="68"/>
      <c r="DNO107" s="1"/>
      <c r="DNP107" s="73"/>
      <c r="DNQ107" s="74"/>
      <c r="DNS107" s="75"/>
      <c r="DNV107" s="75"/>
      <c r="DNW107" s="72"/>
      <c r="DNX107" s="68"/>
      <c r="DNY107" s="1"/>
      <c r="DNZ107" s="73"/>
      <c r="DOA107" s="74"/>
      <c r="DOC107" s="75"/>
      <c r="DOF107" s="75"/>
      <c r="DOG107" s="72"/>
      <c r="DOH107" s="68"/>
      <c r="DOI107" s="1"/>
      <c r="DOJ107" s="73"/>
      <c r="DOK107" s="74"/>
      <c r="DOM107" s="75"/>
      <c r="DOP107" s="75"/>
      <c r="DOQ107" s="72"/>
      <c r="DOR107" s="68"/>
      <c r="DOS107" s="1"/>
      <c r="DOT107" s="73"/>
      <c r="DOU107" s="74"/>
      <c r="DOW107" s="75"/>
      <c r="DOZ107" s="75"/>
      <c r="DPA107" s="72"/>
      <c r="DPB107" s="68"/>
      <c r="DPC107" s="1"/>
      <c r="DPD107" s="73"/>
      <c r="DPE107" s="74"/>
      <c r="DPG107" s="75"/>
      <c r="DPJ107" s="75"/>
      <c r="DPK107" s="72"/>
      <c r="DPL107" s="68"/>
      <c r="DPM107" s="1"/>
      <c r="DPN107" s="73"/>
      <c r="DPO107" s="74"/>
      <c r="DPQ107" s="75"/>
      <c r="DPT107" s="75"/>
      <c r="DPU107" s="72"/>
      <c r="DPV107" s="68"/>
      <c r="DPW107" s="1"/>
      <c r="DPX107" s="73"/>
      <c r="DPY107" s="74"/>
      <c r="DQA107" s="75"/>
      <c r="DQD107" s="75"/>
      <c r="DQE107" s="72"/>
      <c r="DQF107" s="68"/>
      <c r="DQG107" s="1"/>
      <c r="DQH107" s="73"/>
      <c r="DQI107" s="74"/>
      <c r="DQK107" s="75"/>
      <c r="DQN107" s="75"/>
      <c r="DQO107" s="72"/>
      <c r="DQP107" s="68"/>
      <c r="DQQ107" s="1"/>
      <c r="DQR107" s="73"/>
      <c r="DQS107" s="74"/>
      <c r="DQU107" s="75"/>
      <c r="DQX107" s="75"/>
      <c r="DQY107" s="72"/>
      <c r="DQZ107" s="68"/>
      <c r="DRA107" s="1"/>
      <c r="DRB107" s="73"/>
      <c r="DRC107" s="74"/>
      <c r="DRE107" s="75"/>
      <c r="DRH107" s="75"/>
      <c r="DRI107" s="72"/>
      <c r="DRJ107" s="68"/>
      <c r="DRK107" s="1"/>
      <c r="DRL107" s="73"/>
      <c r="DRM107" s="74"/>
      <c r="DRO107" s="75"/>
      <c r="DRR107" s="75"/>
      <c r="DRS107" s="72"/>
      <c r="DRT107" s="68"/>
      <c r="DRU107" s="1"/>
      <c r="DRV107" s="73"/>
      <c r="DRW107" s="74"/>
      <c r="DRY107" s="75"/>
      <c r="DSB107" s="75"/>
      <c r="DSC107" s="72"/>
      <c r="DSD107" s="68"/>
      <c r="DSE107" s="1"/>
      <c r="DSF107" s="73"/>
      <c r="DSG107" s="74"/>
      <c r="DSI107" s="75"/>
      <c r="DSL107" s="75"/>
      <c r="DSM107" s="72"/>
      <c r="DSN107" s="68"/>
      <c r="DSO107" s="1"/>
      <c r="DSP107" s="73"/>
      <c r="DSQ107" s="74"/>
      <c r="DSS107" s="75"/>
      <c r="DSV107" s="75"/>
      <c r="DSW107" s="72"/>
      <c r="DSX107" s="68"/>
      <c r="DSY107" s="1"/>
      <c r="DSZ107" s="73"/>
      <c r="DTA107" s="74"/>
      <c r="DTC107" s="75"/>
      <c r="DTF107" s="75"/>
      <c r="DTG107" s="72"/>
      <c r="DTH107" s="68"/>
      <c r="DTI107" s="1"/>
      <c r="DTJ107" s="73"/>
      <c r="DTK107" s="74"/>
      <c r="DTM107" s="75"/>
      <c r="DTP107" s="75"/>
      <c r="DTQ107" s="72"/>
      <c r="DTR107" s="68"/>
      <c r="DTS107" s="1"/>
      <c r="DTT107" s="73"/>
      <c r="DTU107" s="74"/>
      <c r="DTW107" s="75"/>
      <c r="DTZ107" s="75"/>
      <c r="DUA107" s="72"/>
      <c r="DUB107" s="68"/>
      <c r="DUC107" s="1"/>
      <c r="DUD107" s="73"/>
      <c r="DUE107" s="74"/>
      <c r="DUG107" s="75"/>
      <c r="DUJ107" s="75"/>
      <c r="DUK107" s="72"/>
      <c r="DUL107" s="68"/>
      <c r="DUM107" s="1"/>
      <c r="DUN107" s="73"/>
      <c r="DUO107" s="74"/>
      <c r="DUQ107" s="75"/>
      <c r="DUT107" s="75"/>
      <c r="DUU107" s="72"/>
      <c r="DUV107" s="68"/>
      <c r="DUW107" s="1"/>
      <c r="DUX107" s="73"/>
      <c r="DUY107" s="74"/>
      <c r="DVA107" s="75"/>
      <c r="DVD107" s="75"/>
      <c r="DVE107" s="72"/>
      <c r="DVF107" s="68"/>
      <c r="DVG107" s="1"/>
      <c r="DVH107" s="73"/>
      <c r="DVI107" s="74"/>
      <c r="DVK107" s="75"/>
      <c r="DVN107" s="75"/>
      <c r="DVO107" s="72"/>
      <c r="DVP107" s="68"/>
      <c r="DVQ107" s="1"/>
      <c r="DVR107" s="73"/>
      <c r="DVS107" s="74"/>
      <c r="DVU107" s="75"/>
      <c r="DVX107" s="75"/>
      <c r="DVY107" s="72"/>
      <c r="DVZ107" s="68"/>
      <c r="DWA107" s="1"/>
      <c r="DWB107" s="73"/>
      <c r="DWC107" s="74"/>
      <c r="DWE107" s="75"/>
      <c r="DWH107" s="75"/>
      <c r="DWI107" s="72"/>
      <c r="DWJ107" s="68"/>
      <c r="DWK107" s="1"/>
      <c r="DWL107" s="73"/>
      <c r="DWM107" s="74"/>
      <c r="DWO107" s="75"/>
      <c r="DWR107" s="75"/>
      <c r="DWS107" s="72"/>
      <c r="DWT107" s="68"/>
      <c r="DWU107" s="1"/>
      <c r="DWV107" s="73"/>
      <c r="DWW107" s="74"/>
      <c r="DWY107" s="75"/>
      <c r="DXB107" s="75"/>
      <c r="DXC107" s="72"/>
      <c r="DXD107" s="68"/>
      <c r="DXE107" s="1"/>
      <c r="DXF107" s="73"/>
      <c r="DXG107" s="74"/>
      <c r="DXI107" s="75"/>
      <c r="DXL107" s="75"/>
      <c r="DXM107" s="72"/>
      <c r="DXN107" s="68"/>
      <c r="DXO107" s="1"/>
      <c r="DXP107" s="73"/>
      <c r="DXQ107" s="74"/>
      <c r="DXS107" s="75"/>
      <c r="DXV107" s="75"/>
      <c r="DXW107" s="72"/>
      <c r="DXX107" s="68"/>
      <c r="DXY107" s="1"/>
      <c r="DXZ107" s="73"/>
      <c r="DYA107" s="74"/>
      <c r="DYC107" s="75"/>
      <c r="DYF107" s="75"/>
      <c r="DYG107" s="72"/>
      <c r="DYH107" s="68"/>
      <c r="DYI107" s="1"/>
      <c r="DYJ107" s="73"/>
      <c r="DYK107" s="74"/>
      <c r="DYM107" s="75"/>
      <c r="DYP107" s="75"/>
      <c r="DYQ107" s="72"/>
      <c r="DYR107" s="68"/>
      <c r="DYS107" s="1"/>
      <c r="DYT107" s="73"/>
      <c r="DYU107" s="74"/>
      <c r="DYW107" s="75"/>
      <c r="DYZ107" s="75"/>
      <c r="DZA107" s="72"/>
      <c r="DZB107" s="68"/>
      <c r="DZC107" s="1"/>
      <c r="DZD107" s="73"/>
      <c r="DZE107" s="74"/>
      <c r="DZG107" s="75"/>
      <c r="DZJ107" s="75"/>
      <c r="DZK107" s="72"/>
      <c r="DZL107" s="68"/>
      <c r="DZM107" s="1"/>
      <c r="DZN107" s="73"/>
      <c r="DZO107" s="74"/>
      <c r="DZQ107" s="75"/>
      <c r="DZT107" s="75"/>
      <c r="DZU107" s="72"/>
      <c r="DZV107" s="68"/>
      <c r="DZW107" s="1"/>
      <c r="DZX107" s="73"/>
      <c r="DZY107" s="74"/>
      <c r="EAA107" s="75"/>
      <c r="EAD107" s="75"/>
      <c r="EAE107" s="72"/>
      <c r="EAF107" s="68"/>
      <c r="EAG107" s="1"/>
      <c r="EAH107" s="73"/>
      <c r="EAI107" s="74"/>
      <c r="EAK107" s="75"/>
      <c r="EAN107" s="75"/>
      <c r="EAO107" s="72"/>
      <c r="EAP107" s="68"/>
      <c r="EAQ107" s="1"/>
      <c r="EAR107" s="73"/>
      <c r="EAS107" s="74"/>
      <c r="EAU107" s="75"/>
      <c r="EAX107" s="75"/>
      <c r="EAY107" s="72"/>
      <c r="EAZ107" s="68"/>
      <c r="EBA107" s="1"/>
      <c r="EBB107" s="73"/>
      <c r="EBC107" s="74"/>
      <c r="EBE107" s="75"/>
      <c r="EBH107" s="75"/>
      <c r="EBI107" s="72"/>
      <c r="EBJ107" s="68"/>
      <c r="EBK107" s="1"/>
      <c r="EBL107" s="73"/>
      <c r="EBM107" s="74"/>
      <c r="EBO107" s="75"/>
      <c r="EBR107" s="75"/>
      <c r="EBS107" s="72"/>
      <c r="EBT107" s="68"/>
      <c r="EBU107" s="1"/>
      <c r="EBV107" s="73"/>
      <c r="EBW107" s="74"/>
      <c r="EBY107" s="75"/>
      <c r="ECB107" s="75"/>
      <c r="ECC107" s="72"/>
      <c r="ECD107" s="68"/>
      <c r="ECE107" s="1"/>
      <c r="ECF107" s="73"/>
      <c r="ECG107" s="74"/>
      <c r="ECI107" s="75"/>
      <c r="ECL107" s="75"/>
      <c r="ECM107" s="72"/>
      <c r="ECN107" s="68"/>
      <c r="ECO107" s="1"/>
      <c r="ECP107" s="73"/>
      <c r="ECQ107" s="74"/>
      <c r="ECS107" s="75"/>
      <c r="ECV107" s="75"/>
      <c r="ECW107" s="72"/>
      <c r="ECX107" s="68"/>
      <c r="ECY107" s="1"/>
      <c r="ECZ107" s="73"/>
      <c r="EDA107" s="74"/>
      <c r="EDC107" s="75"/>
      <c r="EDF107" s="75"/>
      <c r="EDG107" s="72"/>
      <c r="EDH107" s="68"/>
      <c r="EDI107" s="1"/>
      <c r="EDJ107" s="73"/>
      <c r="EDK107" s="74"/>
      <c r="EDM107" s="75"/>
      <c r="EDP107" s="75"/>
      <c r="EDQ107" s="72"/>
      <c r="EDR107" s="68"/>
      <c r="EDS107" s="1"/>
      <c r="EDT107" s="73"/>
      <c r="EDU107" s="74"/>
      <c r="EDW107" s="75"/>
      <c r="EDZ107" s="75"/>
      <c r="EEA107" s="72"/>
      <c r="EEB107" s="68"/>
      <c r="EEC107" s="1"/>
      <c r="EED107" s="73"/>
      <c r="EEE107" s="74"/>
      <c r="EEG107" s="75"/>
      <c r="EEJ107" s="75"/>
      <c r="EEK107" s="72"/>
      <c r="EEL107" s="68"/>
      <c r="EEM107" s="1"/>
      <c r="EEN107" s="73"/>
      <c r="EEO107" s="74"/>
      <c r="EEQ107" s="75"/>
      <c r="EET107" s="75"/>
      <c r="EEU107" s="72"/>
      <c r="EEV107" s="68"/>
      <c r="EEW107" s="1"/>
      <c r="EEX107" s="73"/>
      <c r="EEY107" s="74"/>
      <c r="EFA107" s="75"/>
      <c r="EFD107" s="75"/>
      <c r="EFE107" s="72"/>
      <c r="EFF107" s="68"/>
      <c r="EFG107" s="1"/>
      <c r="EFH107" s="73"/>
      <c r="EFI107" s="74"/>
      <c r="EFK107" s="75"/>
      <c r="EFN107" s="75"/>
      <c r="EFO107" s="72"/>
      <c r="EFP107" s="68"/>
      <c r="EFQ107" s="1"/>
      <c r="EFR107" s="73"/>
      <c r="EFS107" s="74"/>
      <c r="EFU107" s="75"/>
      <c r="EFX107" s="75"/>
      <c r="EFY107" s="72"/>
      <c r="EFZ107" s="68"/>
      <c r="EGA107" s="1"/>
      <c r="EGB107" s="73"/>
      <c r="EGC107" s="74"/>
      <c r="EGE107" s="75"/>
      <c r="EGH107" s="75"/>
      <c r="EGI107" s="72"/>
      <c r="EGJ107" s="68"/>
      <c r="EGK107" s="1"/>
      <c r="EGL107" s="73"/>
      <c r="EGM107" s="74"/>
      <c r="EGO107" s="75"/>
      <c r="EGR107" s="75"/>
      <c r="EGS107" s="72"/>
      <c r="EGT107" s="68"/>
      <c r="EGU107" s="1"/>
      <c r="EGV107" s="73"/>
      <c r="EGW107" s="74"/>
      <c r="EGY107" s="75"/>
      <c r="EHB107" s="75"/>
      <c r="EHC107" s="72"/>
      <c r="EHD107" s="68"/>
      <c r="EHE107" s="1"/>
      <c r="EHF107" s="73"/>
      <c r="EHG107" s="74"/>
      <c r="EHI107" s="75"/>
      <c r="EHL107" s="75"/>
      <c r="EHM107" s="72"/>
      <c r="EHN107" s="68"/>
      <c r="EHO107" s="1"/>
      <c r="EHP107" s="73"/>
      <c r="EHQ107" s="74"/>
      <c r="EHS107" s="75"/>
      <c r="EHV107" s="75"/>
      <c r="EHW107" s="72"/>
      <c r="EHX107" s="68"/>
      <c r="EHY107" s="1"/>
      <c r="EHZ107" s="73"/>
      <c r="EIA107" s="74"/>
      <c r="EIC107" s="75"/>
      <c r="EIF107" s="75"/>
      <c r="EIG107" s="72"/>
      <c r="EIH107" s="68"/>
      <c r="EII107" s="1"/>
      <c r="EIJ107" s="73"/>
      <c r="EIK107" s="74"/>
      <c r="EIM107" s="75"/>
      <c r="EIP107" s="75"/>
      <c r="EIQ107" s="72"/>
      <c r="EIR107" s="68"/>
      <c r="EIS107" s="1"/>
      <c r="EIT107" s="73"/>
      <c r="EIU107" s="74"/>
      <c r="EIW107" s="75"/>
      <c r="EIZ107" s="75"/>
      <c r="EJA107" s="72"/>
      <c r="EJB107" s="68"/>
      <c r="EJC107" s="1"/>
      <c r="EJD107" s="73"/>
      <c r="EJE107" s="74"/>
      <c r="EJG107" s="75"/>
      <c r="EJJ107" s="75"/>
      <c r="EJK107" s="72"/>
      <c r="EJL107" s="68"/>
      <c r="EJM107" s="1"/>
      <c r="EJN107" s="73"/>
      <c r="EJO107" s="74"/>
      <c r="EJQ107" s="75"/>
      <c r="EJT107" s="75"/>
      <c r="EJU107" s="72"/>
      <c r="EJV107" s="68"/>
      <c r="EJW107" s="1"/>
      <c r="EJX107" s="73"/>
      <c r="EJY107" s="74"/>
      <c r="EKA107" s="75"/>
      <c r="EKD107" s="75"/>
      <c r="EKE107" s="72"/>
      <c r="EKF107" s="68"/>
      <c r="EKG107" s="1"/>
      <c r="EKH107" s="73"/>
      <c r="EKI107" s="74"/>
      <c r="EKK107" s="75"/>
      <c r="EKN107" s="75"/>
      <c r="EKO107" s="72"/>
      <c r="EKP107" s="68"/>
      <c r="EKQ107" s="1"/>
      <c r="EKR107" s="73"/>
      <c r="EKS107" s="74"/>
      <c r="EKU107" s="75"/>
      <c r="EKX107" s="75"/>
      <c r="EKY107" s="72"/>
      <c r="EKZ107" s="68"/>
      <c r="ELA107" s="1"/>
      <c r="ELB107" s="73"/>
      <c r="ELC107" s="74"/>
      <c r="ELE107" s="75"/>
      <c r="ELH107" s="75"/>
      <c r="ELI107" s="72"/>
      <c r="ELJ107" s="68"/>
      <c r="ELK107" s="1"/>
      <c r="ELL107" s="73"/>
      <c r="ELM107" s="74"/>
      <c r="ELO107" s="75"/>
      <c r="ELR107" s="75"/>
      <c r="ELS107" s="72"/>
      <c r="ELT107" s="68"/>
      <c r="ELU107" s="1"/>
      <c r="ELV107" s="73"/>
      <c r="ELW107" s="74"/>
      <c r="ELY107" s="75"/>
      <c r="EMB107" s="75"/>
      <c r="EMC107" s="72"/>
      <c r="EMD107" s="68"/>
      <c r="EME107" s="1"/>
      <c r="EMF107" s="73"/>
      <c r="EMG107" s="74"/>
      <c r="EMI107" s="75"/>
      <c r="EML107" s="75"/>
      <c r="EMM107" s="72"/>
      <c r="EMN107" s="68"/>
      <c r="EMO107" s="1"/>
      <c r="EMP107" s="73"/>
      <c r="EMQ107" s="74"/>
      <c r="EMS107" s="75"/>
      <c r="EMV107" s="75"/>
      <c r="EMW107" s="72"/>
      <c r="EMX107" s="68"/>
      <c r="EMY107" s="1"/>
      <c r="EMZ107" s="73"/>
      <c r="ENA107" s="74"/>
      <c r="ENC107" s="75"/>
      <c r="ENF107" s="75"/>
      <c r="ENG107" s="72"/>
      <c r="ENH107" s="68"/>
      <c r="ENI107" s="1"/>
      <c r="ENJ107" s="73"/>
      <c r="ENK107" s="74"/>
      <c r="ENM107" s="75"/>
      <c r="ENP107" s="75"/>
      <c r="ENQ107" s="72"/>
      <c r="ENR107" s="68"/>
      <c r="ENS107" s="1"/>
      <c r="ENT107" s="73"/>
      <c r="ENU107" s="74"/>
      <c r="ENW107" s="75"/>
      <c r="ENZ107" s="75"/>
      <c r="EOA107" s="72"/>
      <c r="EOB107" s="68"/>
      <c r="EOC107" s="1"/>
      <c r="EOD107" s="73"/>
      <c r="EOE107" s="74"/>
      <c r="EOG107" s="75"/>
      <c r="EOJ107" s="75"/>
      <c r="EOK107" s="72"/>
      <c r="EOL107" s="68"/>
      <c r="EOM107" s="1"/>
      <c r="EON107" s="73"/>
      <c r="EOO107" s="74"/>
      <c r="EOQ107" s="75"/>
      <c r="EOT107" s="75"/>
      <c r="EOU107" s="72"/>
      <c r="EOV107" s="68"/>
      <c r="EOW107" s="1"/>
      <c r="EOX107" s="73"/>
      <c r="EOY107" s="74"/>
      <c r="EPA107" s="75"/>
      <c r="EPD107" s="75"/>
      <c r="EPE107" s="72"/>
      <c r="EPF107" s="68"/>
      <c r="EPG107" s="1"/>
      <c r="EPH107" s="73"/>
      <c r="EPI107" s="74"/>
      <c r="EPK107" s="75"/>
      <c r="EPN107" s="75"/>
      <c r="EPO107" s="72"/>
      <c r="EPP107" s="68"/>
      <c r="EPQ107" s="1"/>
      <c r="EPR107" s="73"/>
      <c r="EPS107" s="74"/>
      <c r="EPU107" s="75"/>
      <c r="EPX107" s="75"/>
      <c r="EPY107" s="72"/>
      <c r="EPZ107" s="68"/>
      <c r="EQA107" s="1"/>
      <c r="EQB107" s="73"/>
      <c r="EQC107" s="74"/>
      <c r="EQE107" s="75"/>
      <c r="EQH107" s="75"/>
      <c r="EQI107" s="72"/>
      <c r="EQJ107" s="68"/>
      <c r="EQK107" s="1"/>
      <c r="EQL107" s="73"/>
      <c r="EQM107" s="74"/>
      <c r="EQO107" s="75"/>
      <c r="EQR107" s="75"/>
      <c r="EQS107" s="72"/>
      <c r="EQT107" s="68"/>
      <c r="EQU107" s="1"/>
      <c r="EQV107" s="73"/>
      <c r="EQW107" s="74"/>
      <c r="EQY107" s="75"/>
      <c r="ERB107" s="75"/>
      <c r="ERC107" s="72"/>
      <c r="ERD107" s="68"/>
      <c r="ERE107" s="1"/>
      <c r="ERF107" s="73"/>
      <c r="ERG107" s="74"/>
      <c r="ERI107" s="75"/>
      <c r="ERL107" s="75"/>
      <c r="ERM107" s="72"/>
      <c r="ERN107" s="68"/>
      <c r="ERO107" s="1"/>
      <c r="ERP107" s="73"/>
      <c r="ERQ107" s="74"/>
      <c r="ERS107" s="75"/>
      <c r="ERV107" s="75"/>
      <c r="ERW107" s="72"/>
      <c r="ERX107" s="68"/>
      <c r="ERY107" s="1"/>
      <c r="ERZ107" s="73"/>
      <c r="ESA107" s="74"/>
      <c r="ESC107" s="75"/>
      <c r="ESF107" s="75"/>
      <c r="ESG107" s="72"/>
      <c r="ESH107" s="68"/>
      <c r="ESI107" s="1"/>
      <c r="ESJ107" s="73"/>
      <c r="ESK107" s="74"/>
      <c r="ESM107" s="75"/>
      <c r="ESP107" s="75"/>
      <c r="ESQ107" s="72"/>
      <c r="ESR107" s="68"/>
      <c r="ESS107" s="1"/>
      <c r="EST107" s="73"/>
      <c r="ESU107" s="74"/>
      <c r="ESW107" s="75"/>
      <c r="ESZ107" s="75"/>
      <c r="ETA107" s="72"/>
      <c r="ETB107" s="68"/>
      <c r="ETC107" s="1"/>
      <c r="ETD107" s="73"/>
      <c r="ETE107" s="74"/>
      <c r="ETG107" s="75"/>
      <c r="ETJ107" s="75"/>
      <c r="ETK107" s="72"/>
      <c r="ETL107" s="68"/>
      <c r="ETM107" s="1"/>
      <c r="ETN107" s="73"/>
      <c r="ETO107" s="74"/>
      <c r="ETQ107" s="75"/>
      <c r="ETT107" s="75"/>
      <c r="ETU107" s="72"/>
      <c r="ETV107" s="68"/>
      <c r="ETW107" s="1"/>
      <c r="ETX107" s="73"/>
      <c r="ETY107" s="74"/>
      <c r="EUA107" s="75"/>
      <c r="EUD107" s="75"/>
      <c r="EUE107" s="72"/>
      <c r="EUF107" s="68"/>
      <c r="EUG107" s="1"/>
      <c r="EUH107" s="73"/>
      <c r="EUI107" s="74"/>
      <c r="EUK107" s="75"/>
      <c r="EUN107" s="75"/>
      <c r="EUO107" s="72"/>
      <c r="EUP107" s="68"/>
      <c r="EUQ107" s="1"/>
      <c r="EUR107" s="73"/>
      <c r="EUS107" s="74"/>
      <c r="EUU107" s="75"/>
      <c r="EUX107" s="75"/>
      <c r="EUY107" s="72"/>
      <c r="EUZ107" s="68"/>
      <c r="EVA107" s="1"/>
      <c r="EVB107" s="73"/>
      <c r="EVC107" s="74"/>
      <c r="EVE107" s="75"/>
      <c r="EVH107" s="75"/>
      <c r="EVI107" s="72"/>
      <c r="EVJ107" s="68"/>
      <c r="EVK107" s="1"/>
      <c r="EVL107" s="73"/>
      <c r="EVM107" s="74"/>
      <c r="EVO107" s="75"/>
      <c r="EVR107" s="75"/>
      <c r="EVS107" s="72"/>
      <c r="EVT107" s="68"/>
      <c r="EVU107" s="1"/>
      <c r="EVV107" s="73"/>
      <c r="EVW107" s="74"/>
      <c r="EVY107" s="75"/>
      <c r="EWB107" s="75"/>
      <c r="EWC107" s="72"/>
      <c r="EWD107" s="68"/>
      <c r="EWE107" s="1"/>
      <c r="EWF107" s="73"/>
      <c r="EWG107" s="74"/>
      <c r="EWI107" s="75"/>
      <c r="EWL107" s="75"/>
      <c r="EWM107" s="72"/>
      <c r="EWN107" s="68"/>
      <c r="EWO107" s="1"/>
      <c r="EWP107" s="73"/>
      <c r="EWQ107" s="74"/>
      <c r="EWS107" s="75"/>
      <c r="EWV107" s="75"/>
      <c r="EWW107" s="72"/>
      <c r="EWX107" s="68"/>
      <c r="EWY107" s="1"/>
      <c r="EWZ107" s="73"/>
      <c r="EXA107" s="74"/>
      <c r="EXC107" s="75"/>
      <c r="EXF107" s="75"/>
      <c r="EXG107" s="72"/>
      <c r="EXH107" s="68"/>
      <c r="EXI107" s="1"/>
      <c r="EXJ107" s="73"/>
      <c r="EXK107" s="74"/>
      <c r="EXM107" s="75"/>
      <c r="EXP107" s="75"/>
      <c r="EXQ107" s="72"/>
      <c r="EXR107" s="68"/>
      <c r="EXS107" s="1"/>
      <c r="EXT107" s="73"/>
      <c r="EXU107" s="74"/>
      <c r="EXW107" s="75"/>
      <c r="EXZ107" s="75"/>
      <c r="EYA107" s="72"/>
      <c r="EYB107" s="68"/>
      <c r="EYC107" s="1"/>
      <c r="EYD107" s="73"/>
      <c r="EYE107" s="74"/>
      <c r="EYG107" s="75"/>
      <c r="EYJ107" s="75"/>
      <c r="EYK107" s="72"/>
      <c r="EYL107" s="68"/>
      <c r="EYM107" s="1"/>
      <c r="EYN107" s="73"/>
      <c r="EYO107" s="74"/>
      <c r="EYQ107" s="75"/>
      <c r="EYT107" s="75"/>
      <c r="EYU107" s="72"/>
      <c r="EYV107" s="68"/>
      <c r="EYW107" s="1"/>
      <c r="EYX107" s="73"/>
      <c r="EYY107" s="74"/>
      <c r="EZA107" s="75"/>
      <c r="EZD107" s="75"/>
      <c r="EZE107" s="72"/>
      <c r="EZF107" s="68"/>
      <c r="EZG107" s="1"/>
      <c r="EZH107" s="73"/>
      <c r="EZI107" s="74"/>
      <c r="EZK107" s="75"/>
      <c r="EZN107" s="75"/>
      <c r="EZO107" s="72"/>
      <c r="EZP107" s="68"/>
      <c r="EZQ107" s="1"/>
      <c r="EZR107" s="73"/>
      <c r="EZS107" s="74"/>
      <c r="EZU107" s="75"/>
      <c r="EZX107" s="75"/>
      <c r="EZY107" s="72"/>
      <c r="EZZ107" s="68"/>
      <c r="FAA107" s="1"/>
      <c r="FAB107" s="73"/>
      <c r="FAC107" s="74"/>
      <c r="FAE107" s="75"/>
      <c r="FAH107" s="75"/>
      <c r="FAI107" s="72"/>
      <c r="FAJ107" s="68"/>
      <c r="FAK107" s="1"/>
      <c r="FAL107" s="73"/>
      <c r="FAM107" s="74"/>
      <c r="FAO107" s="75"/>
      <c r="FAR107" s="75"/>
      <c r="FAS107" s="72"/>
      <c r="FAT107" s="68"/>
      <c r="FAU107" s="1"/>
      <c r="FAV107" s="73"/>
      <c r="FAW107" s="74"/>
      <c r="FAY107" s="75"/>
      <c r="FBB107" s="75"/>
      <c r="FBC107" s="72"/>
      <c r="FBD107" s="68"/>
      <c r="FBE107" s="1"/>
      <c r="FBF107" s="73"/>
      <c r="FBG107" s="74"/>
      <c r="FBI107" s="75"/>
      <c r="FBL107" s="75"/>
      <c r="FBM107" s="72"/>
      <c r="FBN107" s="68"/>
      <c r="FBO107" s="1"/>
      <c r="FBP107" s="73"/>
      <c r="FBQ107" s="74"/>
      <c r="FBS107" s="75"/>
      <c r="FBV107" s="75"/>
      <c r="FBW107" s="72"/>
      <c r="FBX107" s="68"/>
      <c r="FBY107" s="1"/>
      <c r="FBZ107" s="73"/>
      <c r="FCA107" s="74"/>
      <c r="FCC107" s="75"/>
      <c r="FCF107" s="75"/>
      <c r="FCG107" s="72"/>
      <c r="FCH107" s="68"/>
      <c r="FCI107" s="1"/>
      <c r="FCJ107" s="73"/>
      <c r="FCK107" s="74"/>
      <c r="FCM107" s="75"/>
      <c r="FCP107" s="75"/>
      <c r="FCQ107" s="72"/>
      <c r="FCR107" s="68"/>
      <c r="FCS107" s="1"/>
      <c r="FCT107" s="73"/>
      <c r="FCU107" s="74"/>
      <c r="FCW107" s="75"/>
      <c r="FCZ107" s="75"/>
      <c r="FDA107" s="72"/>
      <c r="FDB107" s="68"/>
      <c r="FDC107" s="1"/>
      <c r="FDD107" s="73"/>
      <c r="FDE107" s="74"/>
      <c r="FDG107" s="75"/>
      <c r="FDJ107" s="75"/>
      <c r="FDK107" s="72"/>
      <c r="FDL107" s="68"/>
      <c r="FDM107" s="1"/>
      <c r="FDN107" s="73"/>
      <c r="FDO107" s="74"/>
      <c r="FDQ107" s="75"/>
      <c r="FDT107" s="75"/>
      <c r="FDU107" s="72"/>
      <c r="FDV107" s="68"/>
      <c r="FDW107" s="1"/>
      <c r="FDX107" s="73"/>
      <c r="FDY107" s="74"/>
      <c r="FEA107" s="75"/>
      <c r="FED107" s="75"/>
      <c r="FEE107" s="72"/>
      <c r="FEF107" s="68"/>
      <c r="FEG107" s="1"/>
      <c r="FEH107" s="73"/>
      <c r="FEI107" s="74"/>
      <c r="FEK107" s="75"/>
      <c r="FEN107" s="75"/>
      <c r="FEO107" s="72"/>
      <c r="FEP107" s="68"/>
      <c r="FEQ107" s="1"/>
      <c r="FER107" s="73"/>
      <c r="FES107" s="74"/>
      <c r="FEU107" s="75"/>
      <c r="FEX107" s="75"/>
      <c r="FEY107" s="72"/>
      <c r="FEZ107" s="68"/>
      <c r="FFA107" s="1"/>
      <c r="FFB107" s="73"/>
      <c r="FFC107" s="74"/>
      <c r="FFE107" s="75"/>
      <c r="FFH107" s="75"/>
      <c r="FFI107" s="72"/>
      <c r="FFJ107" s="68"/>
      <c r="FFK107" s="1"/>
      <c r="FFL107" s="73"/>
      <c r="FFM107" s="74"/>
      <c r="FFO107" s="75"/>
      <c r="FFR107" s="75"/>
      <c r="FFS107" s="72"/>
      <c r="FFT107" s="68"/>
      <c r="FFU107" s="1"/>
      <c r="FFV107" s="73"/>
      <c r="FFW107" s="74"/>
      <c r="FFY107" s="75"/>
      <c r="FGB107" s="75"/>
      <c r="FGC107" s="72"/>
      <c r="FGD107" s="68"/>
      <c r="FGE107" s="1"/>
      <c r="FGF107" s="73"/>
      <c r="FGG107" s="74"/>
      <c r="FGI107" s="75"/>
      <c r="FGL107" s="75"/>
      <c r="FGM107" s="72"/>
      <c r="FGN107" s="68"/>
      <c r="FGO107" s="1"/>
      <c r="FGP107" s="73"/>
      <c r="FGQ107" s="74"/>
      <c r="FGS107" s="75"/>
      <c r="FGV107" s="75"/>
      <c r="FGW107" s="72"/>
      <c r="FGX107" s="68"/>
      <c r="FGY107" s="1"/>
      <c r="FGZ107" s="73"/>
      <c r="FHA107" s="74"/>
      <c r="FHC107" s="75"/>
      <c r="FHF107" s="75"/>
      <c r="FHG107" s="72"/>
      <c r="FHH107" s="68"/>
      <c r="FHI107" s="1"/>
      <c r="FHJ107" s="73"/>
      <c r="FHK107" s="74"/>
      <c r="FHM107" s="75"/>
      <c r="FHP107" s="75"/>
      <c r="FHQ107" s="72"/>
      <c r="FHR107" s="68"/>
      <c r="FHS107" s="1"/>
      <c r="FHT107" s="73"/>
      <c r="FHU107" s="74"/>
      <c r="FHW107" s="75"/>
      <c r="FHZ107" s="75"/>
      <c r="FIA107" s="72"/>
      <c r="FIB107" s="68"/>
      <c r="FIC107" s="1"/>
      <c r="FID107" s="73"/>
      <c r="FIE107" s="74"/>
      <c r="FIG107" s="75"/>
      <c r="FIJ107" s="75"/>
      <c r="FIK107" s="72"/>
      <c r="FIL107" s="68"/>
      <c r="FIM107" s="1"/>
      <c r="FIN107" s="73"/>
      <c r="FIO107" s="74"/>
      <c r="FIQ107" s="75"/>
      <c r="FIT107" s="75"/>
      <c r="FIU107" s="72"/>
      <c r="FIV107" s="68"/>
      <c r="FIW107" s="1"/>
      <c r="FIX107" s="73"/>
      <c r="FIY107" s="74"/>
      <c r="FJA107" s="75"/>
      <c r="FJD107" s="75"/>
      <c r="FJE107" s="72"/>
      <c r="FJF107" s="68"/>
      <c r="FJG107" s="1"/>
      <c r="FJH107" s="73"/>
      <c r="FJI107" s="74"/>
      <c r="FJK107" s="75"/>
      <c r="FJN107" s="75"/>
      <c r="FJO107" s="72"/>
      <c r="FJP107" s="68"/>
      <c r="FJQ107" s="1"/>
      <c r="FJR107" s="73"/>
      <c r="FJS107" s="74"/>
      <c r="FJU107" s="75"/>
      <c r="FJX107" s="75"/>
      <c r="FJY107" s="72"/>
      <c r="FJZ107" s="68"/>
      <c r="FKA107" s="1"/>
      <c r="FKB107" s="73"/>
      <c r="FKC107" s="74"/>
      <c r="FKE107" s="75"/>
      <c r="FKH107" s="75"/>
      <c r="FKI107" s="72"/>
      <c r="FKJ107" s="68"/>
      <c r="FKK107" s="1"/>
      <c r="FKL107" s="73"/>
      <c r="FKM107" s="74"/>
      <c r="FKO107" s="75"/>
      <c r="FKR107" s="75"/>
      <c r="FKS107" s="72"/>
      <c r="FKT107" s="68"/>
      <c r="FKU107" s="1"/>
      <c r="FKV107" s="73"/>
      <c r="FKW107" s="74"/>
      <c r="FKY107" s="75"/>
      <c r="FLB107" s="75"/>
      <c r="FLC107" s="72"/>
      <c r="FLD107" s="68"/>
      <c r="FLE107" s="1"/>
      <c r="FLF107" s="73"/>
      <c r="FLG107" s="74"/>
      <c r="FLI107" s="75"/>
      <c r="FLL107" s="75"/>
      <c r="FLM107" s="72"/>
      <c r="FLN107" s="68"/>
      <c r="FLO107" s="1"/>
      <c r="FLP107" s="73"/>
      <c r="FLQ107" s="74"/>
      <c r="FLS107" s="75"/>
      <c r="FLV107" s="75"/>
      <c r="FLW107" s="72"/>
      <c r="FLX107" s="68"/>
      <c r="FLY107" s="1"/>
      <c r="FLZ107" s="73"/>
      <c r="FMA107" s="74"/>
      <c r="FMC107" s="75"/>
      <c r="FMF107" s="75"/>
      <c r="FMG107" s="72"/>
      <c r="FMH107" s="68"/>
      <c r="FMI107" s="1"/>
      <c r="FMJ107" s="73"/>
      <c r="FMK107" s="74"/>
      <c r="FMM107" s="75"/>
      <c r="FMP107" s="75"/>
      <c r="FMQ107" s="72"/>
      <c r="FMR107" s="68"/>
      <c r="FMS107" s="1"/>
      <c r="FMT107" s="73"/>
      <c r="FMU107" s="74"/>
      <c r="FMW107" s="75"/>
      <c r="FMZ107" s="75"/>
      <c r="FNA107" s="72"/>
      <c r="FNB107" s="68"/>
      <c r="FNC107" s="1"/>
      <c r="FND107" s="73"/>
      <c r="FNE107" s="74"/>
      <c r="FNG107" s="75"/>
      <c r="FNJ107" s="75"/>
      <c r="FNK107" s="72"/>
      <c r="FNL107" s="68"/>
      <c r="FNM107" s="1"/>
      <c r="FNN107" s="73"/>
      <c r="FNO107" s="74"/>
      <c r="FNQ107" s="75"/>
      <c r="FNT107" s="75"/>
      <c r="FNU107" s="72"/>
      <c r="FNV107" s="68"/>
      <c r="FNW107" s="1"/>
      <c r="FNX107" s="73"/>
      <c r="FNY107" s="74"/>
      <c r="FOA107" s="75"/>
      <c r="FOD107" s="75"/>
      <c r="FOE107" s="72"/>
      <c r="FOF107" s="68"/>
      <c r="FOG107" s="1"/>
      <c r="FOH107" s="73"/>
      <c r="FOI107" s="74"/>
      <c r="FOK107" s="75"/>
      <c r="FON107" s="75"/>
      <c r="FOO107" s="72"/>
      <c r="FOP107" s="68"/>
      <c r="FOQ107" s="1"/>
      <c r="FOR107" s="73"/>
      <c r="FOS107" s="74"/>
      <c r="FOU107" s="75"/>
      <c r="FOX107" s="75"/>
      <c r="FOY107" s="72"/>
      <c r="FOZ107" s="68"/>
      <c r="FPA107" s="1"/>
      <c r="FPB107" s="73"/>
      <c r="FPC107" s="74"/>
      <c r="FPE107" s="75"/>
      <c r="FPH107" s="75"/>
      <c r="FPI107" s="72"/>
      <c r="FPJ107" s="68"/>
      <c r="FPK107" s="1"/>
      <c r="FPL107" s="73"/>
      <c r="FPM107" s="74"/>
      <c r="FPO107" s="75"/>
      <c r="FPR107" s="75"/>
      <c r="FPS107" s="72"/>
      <c r="FPT107" s="68"/>
      <c r="FPU107" s="1"/>
      <c r="FPV107" s="73"/>
      <c r="FPW107" s="74"/>
      <c r="FPY107" s="75"/>
      <c r="FQB107" s="75"/>
      <c r="FQC107" s="72"/>
      <c r="FQD107" s="68"/>
      <c r="FQE107" s="1"/>
      <c r="FQF107" s="73"/>
      <c r="FQG107" s="74"/>
      <c r="FQI107" s="75"/>
      <c r="FQL107" s="75"/>
      <c r="FQM107" s="72"/>
      <c r="FQN107" s="68"/>
      <c r="FQO107" s="1"/>
      <c r="FQP107" s="73"/>
      <c r="FQQ107" s="74"/>
      <c r="FQS107" s="75"/>
      <c r="FQV107" s="75"/>
      <c r="FQW107" s="72"/>
      <c r="FQX107" s="68"/>
      <c r="FQY107" s="1"/>
      <c r="FQZ107" s="73"/>
      <c r="FRA107" s="74"/>
      <c r="FRC107" s="75"/>
      <c r="FRF107" s="75"/>
      <c r="FRG107" s="72"/>
      <c r="FRH107" s="68"/>
      <c r="FRI107" s="1"/>
      <c r="FRJ107" s="73"/>
      <c r="FRK107" s="74"/>
      <c r="FRM107" s="75"/>
      <c r="FRP107" s="75"/>
      <c r="FRQ107" s="72"/>
      <c r="FRR107" s="68"/>
      <c r="FRS107" s="1"/>
      <c r="FRT107" s="73"/>
      <c r="FRU107" s="74"/>
      <c r="FRW107" s="75"/>
      <c r="FRZ107" s="75"/>
      <c r="FSA107" s="72"/>
      <c r="FSB107" s="68"/>
      <c r="FSC107" s="1"/>
      <c r="FSD107" s="73"/>
      <c r="FSE107" s="74"/>
      <c r="FSG107" s="75"/>
      <c r="FSJ107" s="75"/>
      <c r="FSK107" s="72"/>
      <c r="FSL107" s="68"/>
      <c r="FSM107" s="1"/>
      <c r="FSN107" s="73"/>
      <c r="FSO107" s="74"/>
      <c r="FSQ107" s="75"/>
      <c r="FST107" s="75"/>
      <c r="FSU107" s="72"/>
      <c r="FSV107" s="68"/>
      <c r="FSW107" s="1"/>
      <c r="FSX107" s="73"/>
      <c r="FSY107" s="74"/>
      <c r="FTA107" s="75"/>
      <c r="FTD107" s="75"/>
      <c r="FTE107" s="72"/>
      <c r="FTF107" s="68"/>
      <c r="FTG107" s="1"/>
      <c r="FTH107" s="73"/>
      <c r="FTI107" s="74"/>
      <c r="FTK107" s="75"/>
      <c r="FTN107" s="75"/>
      <c r="FTO107" s="72"/>
      <c r="FTP107" s="68"/>
      <c r="FTQ107" s="1"/>
      <c r="FTR107" s="73"/>
      <c r="FTS107" s="74"/>
      <c r="FTU107" s="75"/>
      <c r="FTX107" s="75"/>
      <c r="FTY107" s="72"/>
      <c r="FTZ107" s="68"/>
      <c r="FUA107" s="1"/>
      <c r="FUB107" s="73"/>
      <c r="FUC107" s="74"/>
      <c r="FUE107" s="75"/>
      <c r="FUH107" s="75"/>
      <c r="FUI107" s="72"/>
      <c r="FUJ107" s="68"/>
      <c r="FUK107" s="1"/>
      <c r="FUL107" s="73"/>
      <c r="FUM107" s="74"/>
      <c r="FUO107" s="75"/>
      <c r="FUR107" s="75"/>
      <c r="FUS107" s="72"/>
      <c r="FUT107" s="68"/>
      <c r="FUU107" s="1"/>
      <c r="FUV107" s="73"/>
      <c r="FUW107" s="74"/>
      <c r="FUY107" s="75"/>
      <c r="FVB107" s="75"/>
      <c r="FVC107" s="72"/>
      <c r="FVD107" s="68"/>
      <c r="FVE107" s="1"/>
      <c r="FVF107" s="73"/>
      <c r="FVG107" s="74"/>
      <c r="FVI107" s="75"/>
      <c r="FVL107" s="75"/>
      <c r="FVM107" s="72"/>
      <c r="FVN107" s="68"/>
      <c r="FVO107" s="1"/>
      <c r="FVP107" s="73"/>
      <c r="FVQ107" s="74"/>
      <c r="FVS107" s="75"/>
      <c r="FVV107" s="75"/>
      <c r="FVW107" s="72"/>
      <c r="FVX107" s="68"/>
      <c r="FVY107" s="1"/>
      <c r="FVZ107" s="73"/>
      <c r="FWA107" s="74"/>
      <c r="FWC107" s="75"/>
      <c r="FWF107" s="75"/>
      <c r="FWG107" s="72"/>
      <c r="FWH107" s="68"/>
      <c r="FWI107" s="1"/>
      <c r="FWJ107" s="73"/>
      <c r="FWK107" s="74"/>
      <c r="FWM107" s="75"/>
      <c r="FWP107" s="75"/>
      <c r="FWQ107" s="72"/>
      <c r="FWR107" s="68"/>
      <c r="FWS107" s="1"/>
      <c r="FWT107" s="73"/>
      <c r="FWU107" s="74"/>
      <c r="FWW107" s="75"/>
      <c r="FWZ107" s="75"/>
      <c r="FXA107" s="72"/>
      <c r="FXB107" s="68"/>
      <c r="FXC107" s="1"/>
      <c r="FXD107" s="73"/>
      <c r="FXE107" s="74"/>
      <c r="FXG107" s="75"/>
      <c r="FXJ107" s="75"/>
      <c r="FXK107" s="72"/>
      <c r="FXL107" s="68"/>
      <c r="FXM107" s="1"/>
      <c r="FXN107" s="73"/>
      <c r="FXO107" s="74"/>
      <c r="FXQ107" s="75"/>
      <c r="FXT107" s="75"/>
      <c r="FXU107" s="72"/>
      <c r="FXV107" s="68"/>
      <c r="FXW107" s="1"/>
      <c r="FXX107" s="73"/>
      <c r="FXY107" s="74"/>
      <c r="FYA107" s="75"/>
      <c r="FYD107" s="75"/>
      <c r="FYE107" s="72"/>
      <c r="FYF107" s="68"/>
      <c r="FYG107" s="1"/>
      <c r="FYH107" s="73"/>
      <c r="FYI107" s="74"/>
      <c r="FYK107" s="75"/>
      <c r="FYN107" s="75"/>
      <c r="FYO107" s="72"/>
      <c r="FYP107" s="68"/>
      <c r="FYQ107" s="1"/>
      <c r="FYR107" s="73"/>
      <c r="FYS107" s="74"/>
      <c r="FYU107" s="75"/>
      <c r="FYX107" s="75"/>
      <c r="FYY107" s="72"/>
      <c r="FYZ107" s="68"/>
      <c r="FZA107" s="1"/>
      <c r="FZB107" s="73"/>
      <c r="FZC107" s="74"/>
      <c r="FZE107" s="75"/>
      <c r="FZH107" s="75"/>
      <c r="FZI107" s="72"/>
      <c r="FZJ107" s="68"/>
      <c r="FZK107" s="1"/>
      <c r="FZL107" s="73"/>
      <c r="FZM107" s="74"/>
      <c r="FZO107" s="75"/>
      <c r="FZR107" s="75"/>
      <c r="FZS107" s="72"/>
      <c r="FZT107" s="68"/>
      <c r="FZU107" s="1"/>
      <c r="FZV107" s="73"/>
      <c r="FZW107" s="74"/>
      <c r="FZY107" s="75"/>
      <c r="GAB107" s="75"/>
      <c r="GAC107" s="72"/>
      <c r="GAD107" s="68"/>
      <c r="GAE107" s="1"/>
      <c r="GAF107" s="73"/>
      <c r="GAG107" s="74"/>
      <c r="GAI107" s="75"/>
      <c r="GAL107" s="75"/>
      <c r="GAM107" s="72"/>
      <c r="GAN107" s="68"/>
      <c r="GAO107" s="1"/>
      <c r="GAP107" s="73"/>
      <c r="GAQ107" s="74"/>
      <c r="GAS107" s="75"/>
      <c r="GAV107" s="75"/>
      <c r="GAW107" s="72"/>
      <c r="GAX107" s="68"/>
      <c r="GAY107" s="1"/>
      <c r="GAZ107" s="73"/>
      <c r="GBA107" s="74"/>
      <c r="GBC107" s="75"/>
      <c r="GBF107" s="75"/>
      <c r="GBG107" s="72"/>
      <c r="GBH107" s="68"/>
      <c r="GBI107" s="1"/>
      <c r="GBJ107" s="73"/>
      <c r="GBK107" s="74"/>
      <c r="GBM107" s="75"/>
      <c r="GBP107" s="75"/>
      <c r="GBQ107" s="72"/>
      <c r="GBR107" s="68"/>
      <c r="GBS107" s="1"/>
      <c r="GBT107" s="73"/>
      <c r="GBU107" s="74"/>
      <c r="GBW107" s="75"/>
      <c r="GBZ107" s="75"/>
      <c r="GCA107" s="72"/>
      <c r="GCB107" s="68"/>
      <c r="GCC107" s="1"/>
      <c r="GCD107" s="73"/>
      <c r="GCE107" s="74"/>
      <c r="GCG107" s="75"/>
      <c r="GCJ107" s="75"/>
      <c r="GCK107" s="72"/>
      <c r="GCL107" s="68"/>
      <c r="GCM107" s="1"/>
      <c r="GCN107" s="73"/>
      <c r="GCO107" s="74"/>
      <c r="GCQ107" s="75"/>
      <c r="GCT107" s="75"/>
      <c r="GCU107" s="72"/>
      <c r="GCV107" s="68"/>
      <c r="GCW107" s="1"/>
      <c r="GCX107" s="73"/>
      <c r="GCY107" s="74"/>
      <c r="GDA107" s="75"/>
      <c r="GDD107" s="75"/>
      <c r="GDE107" s="72"/>
      <c r="GDF107" s="68"/>
      <c r="GDG107" s="1"/>
      <c r="GDH107" s="73"/>
      <c r="GDI107" s="74"/>
      <c r="GDK107" s="75"/>
      <c r="GDN107" s="75"/>
      <c r="GDO107" s="72"/>
      <c r="GDP107" s="68"/>
      <c r="GDQ107" s="1"/>
      <c r="GDR107" s="73"/>
      <c r="GDS107" s="74"/>
      <c r="GDU107" s="75"/>
      <c r="GDX107" s="75"/>
      <c r="GDY107" s="72"/>
      <c r="GDZ107" s="68"/>
      <c r="GEA107" s="1"/>
      <c r="GEB107" s="73"/>
      <c r="GEC107" s="74"/>
      <c r="GEE107" s="75"/>
      <c r="GEH107" s="75"/>
      <c r="GEI107" s="72"/>
      <c r="GEJ107" s="68"/>
      <c r="GEK107" s="1"/>
      <c r="GEL107" s="73"/>
      <c r="GEM107" s="74"/>
      <c r="GEO107" s="75"/>
      <c r="GER107" s="75"/>
      <c r="GES107" s="72"/>
      <c r="GET107" s="68"/>
      <c r="GEU107" s="1"/>
      <c r="GEV107" s="73"/>
      <c r="GEW107" s="74"/>
      <c r="GEY107" s="75"/>
      <c r="GFB107" s="75"/>
      <c r="GFC107" s="72"/>
      <c r="GFD107" s="68"/>
      <c r="GFE107" s="1"/>
      <c r="GFF107" s="73"/>
      <c r="GFG107" s="74"/>
      <c r="GFI107" s="75"/>
      <c r="GFL107" s="75"/>
      <c r="GFM107" s="72"/>
      <c r="GFN107" s="68"/>
      <c r="GFO107" s="1"/>
      <c r="GFP107" s="73"/>
      <c r="GFQ107" s="74"/>
      <c r="GFS107" s="75"/>
      <c r="GFV107" s="75"/>
      <c r="GFW107" s="72"/>
      <c r="GFX107" s="68"/>
      <c r="GFY107" s="1"/>
      <c r="GFZ107" s="73"/>
      <c r="GGA107" s="74"/>
      <c r="GGC107" s="75"/>
      <c r="GGF107" s="75"/>
      <c r="GGG107" s="72"/>
      <c r="GGH107" s="68"/>
      <c r="GGI107" s="1"/>
      <c r="GGJ107" s="73"/>
      <c r="GGK107" s="74"/>
      <c r="GGM107" s="75"/>
      <c r="GGP107" s="75"/>
      <c r="GGQ107" s="72"/>
      <c r="GGR107" s="68"/>
      <c r="GGS107" s="1"/>
      <c r="GGT107" s="73"/>
      <c r="GGU107" s="74"/>
      <c r="GGW107" s="75"/>
      <c r="GGZ107" s="75"/>
      <c r="GHA107" s="72"/>
      <c r="GHB107" s="68"/>
      <c r="GHC107" s="1"/>
      <c r="GHD107" s="73"/>
      <c r="GHE107" s="74"/>
      <c r="GHG107" s="75"/>
      <c r="GHJ107" s="75"/>
      <c r="GHK107" s="72"/>
      <c r="GHL107" s="68"/>
      <c r="GHM107" s="1"/>
      <c r="GHN107" s="73"/>
      <c r="GHO107" s="74"/>
      <c r="GHQ107" s="75"/>
      <c r="GHT107" s="75"/>
      <c r="GHU107" s="72"/>
      <c r="GHV107" s="68"/>
      <c r="GHW107" s="1"/>
      <c r="GHX107" s="73"/>
      <c r="GHY107" s="74"/>
      <c r="GIA107" s="75"/>
      <c r="GID107" s="75"/>
      <c r="GIE107" s="72"/>
      <c r="GIF107" s="68"/>
      <c r="GIG107" s="1"/>
      <c r="GIH107" s="73"/>
      <c r="GII107" s="74"/>
      <c r="GIK107" s="75"/>
      <c r="GIN107" s="75"/>
      <c r="GIO107" s="72"/>
      <c r="GIP107" s="68"/>
      <c r="GIQ107" s="1"/>
      <c r="GIR107" s="73"/>
      <c r="GIS107" s="74"/>
      <c r="GIU107" s="75"/>
      <c r="GIX107" s="75"/>
      <c r="GIY107" s="72"/>
      <c r="GIZ107" s="68"/>
      <c r="GJA107" s="1"/>
      <c r="GJB107" s="73"/>
      <c r="GJC107" s="74"/>
      <c r="GJE107" s="75"/>
      <c r="GJH107" s="75"/>
      <c r="GJI107" s="72"/>
      <c r="GJJ107" s="68"/>
      <c r="GJK107" s="1"/>
      <c r="GJL107" s="73"/>
      <c r="GJM107" s="74"/>
      <c r="GJO107" s="75"/>
      <c r="GJR107" s="75"/>
      <c r="GJS107" s="72"/>
      <c r="GJT107" s="68"/>
      <c r="GJU107" s="1"/>
      <c r="GJV107" s="73"/>
      <c r="GJW107" s="74"/>
      <c r="GJY107" s="75"/>
      <c r="GKB107" s="75"/>
      <c r="GKC107" s="72"/>
      <c r="GKD107" s="68"/>
      <c r="GKE107" s="1"/>
      <c r="GKF107" s="73"/>
      <c r="GKG107" s="74"/>
      <c r="GKI107" s="75"/>
      <c r="GKL107" s="75"/>
      <c r="GKM107" s="72"/>
      <c r="GKN107" s="68"/>
      <c r="GKO107" s="1"/>
      <c r="GKP107" s="73"/>
      <c r="GKQ107" s="74"/>
      <c r="GKS107" s="75"/>
      <c r="GKV107" s="75"/>
      <c r="GKW107" s="72"/>
      <c r="GKX107" s="68"/>
      <c r="GKY107" s="1"/>
      <c r="GKZ107" s="73"/>
      <c r="GLA107" s="74"/>
      <c r="GLC107" s="75"/>
      <c r="GLF107" s="75"/>
      <c r="GLG107" s="72"/>
      <c r="GLH107" s="68"/>
      <c r="GLI107" s="1"/>
      <c r="GLJ107" s="73"/>
      <c r="GLK107" s="74"/>
      <c r="GLM107" s="75"/>
      <c r="GLP107" s="75"/>
      <c r="GLQ107" s="72"/>
      <c r="GLR107" s="68"/>
      <c r="GLS107" s="1"/>
      <c r="GLT107" s="73"/>
      <c r="GLU107" s="74"/>
      <c r="GLW107" s="75"/>
      <c r="GLZ107" s="75"/>
      <c r="GMA107" s="72"/>
      <c r="GMB107" s="68"/>
      <c r="GMC107" s="1"/>
      <c r="GMD107" s="73"/>
      <c r="GME107" s="74"/>
      <c r="GMG107" s="75"/>
      <c r="GMJ107" s="75"/>
      <c r="GMK107" s="72"/>
      <c r="GML107" s="68"/>
      <c r="GMM107" s="1"/>
      <c r="GMN107" s="73"/>
      <c r="GMO107" s="74"/>
      <c r="GMQ107" s="75"/>
      <c r="GMT107" s="75"/>
      <c r="GMU107" s="72"/>
      <c r="GMV107" s="68"/>
      <c r="GMW107" s="1"/>
      <c r="GMX107" s="73"/>
      <c r="GMY107" s="74"/>
      <c r="GNA107" s="75"/>
      <c r="GND107" s="75"/>
      <c r="GNE107" s="72"/>
      <c r="GNF107" s="68"/>
      <c r="GNG107" s="1"/>
      <c r="GNH107" s="73"/>
      <c r="GNI107" s="74"/>
      <c r="GNK107" s="75"/>
      <c r="GNN107" s="75"/>
      <c r="GNO107" s="72"/>
      <c r="GNP107" s="68"/>
      <c r="GNQ107" s="1"/>
      <c r="GNR107" s="73"/>
      <c r="GNS107" s="74"/>
      <c r="GNU107" s="75"/>
      <c r="GNX107" s="75"/>
      <c r="GNY107" s="72"/>
      <c r="GNZ107" s="68"/>
      <c r="GOA107" s="1"/>
      <c r="GOB107" s="73"/>
      <c r="GOC107" s="74"/>
      <c r="GOE107" s="75"/>
      <c r="GOH107" s="75"/>
      <c r="GOI107" s="72"/>
      <c r="GOJ107" s="68"/>
      <c r="GOK107" s="1"/>
      <c r="GOL107" s="73"/>
      <c r="GOM107" s="74"/>
      <c r="GOO107" s="75"/>
      <c r="GOR107" s="75"/>
      <c r="GOS107" s="72"/>
      <c r="GOT107" s="68"/>
      <c r="GOU107" s="1"/>
      <c r="GOV107" s="73"/>
      <c r="GOW107" s="74"/>
      <c r="GOY107" s="75"/>
      <c r="GPB107" s="75"/>
      <c r="GPC107" s="72"/>
      <c r="GPD107" s="68"/>
      <c r="GPE107" s="1"/>
      <c r="GPF107" s="73"/>
      <c r="GPG107" s="74"/>
      <c r="GPI107" s="75"/>
      <c r="GPL107" s="75"/>
      <c r="GPM107" s="72"/>
      <c r="GPN107" s="68"/>
      <c r="GPO107" s="1"/>
      <c r="GPP107" s="73"/>
      <c r="GPQ107" s="74"/>
      <c r="GPS107" s="75"/>
      <c r="GPV107" s="75"/>
      <c r="GPW107" s="72"/>
      <c r="GPX107" s="68"/>
      <c r="GPY107" s="1"/>
      <c r="GPZ107" s="73"/>
      <c r="GQA107" s="74"/>
      <c r="GQC107" s="75"/>
      <c r="GQF107" s="75"/>
      <c r="GQG107" s="72"/>
      <c r="GQH107" s="68"/>
      <c r="GQI107" s="1"/>
      <c r="GQJ107" s="73"/>
      <c r="GQK107" s="74"/>
      <c r="GQM107" s="75"/>
      <c r="GQP107" s="75"/>
      <c r="GQQ107" s="72"/>
      <c r="GQR107" s="68"/>
      <c r="GQS107" s="1"/>
      <c r="GQT107" s="73"/>
      <c r="GQU107" s="74"/>
      <c r="GQW107" s="75"/>
      <c r="GQZ107" s="75"/>
      <c r="GRA107" s="72"/>
      <c r="GRB107" s="68"/>
      <c r="GRC107" s="1"/>
      <c r="GRD107" s="73"/>
      <c r="GRE107" s="74"/>
      <c r="GRG107" s="75"/>
      <c r="GRJ107" s="75"/>
      <c r="GRK107" s="72"/>
      <c r="GRL107" s="68"/>
      <c r="GRM107" s="1"/>
      <c r="GRN107" s="73"/>
      <c r="GRO107" s="74"/>
      <c r="GRQ107" s="75"/>
      <c r="GRT107" s="75"/>
      <c r="GRU107" s="72"/>
      <c r="GRV107" s="68"/>
      <c r="GRW107" s="1"/>
      <c r="GRX107" s="73"/>
      <c r="GRY107" s="74"/>
      <c r="GSA107" s="75"/>
      <c r="GSD107" s="75"/>
      <c r="GSE107" s="72"/>
      <c r="GSF107" s="68"/>
      <c r="GSG107" s="1"/>
      <c r="GSH107" s="73"/>
      <c r="GSI107" s="74"/>
      <c r="GSK107" s="75"/>
      <c r="GSN107" s="75"/>
      <c r="GSO107" s="72"/>
      <c r="GSP107" s="68"/>
      <c r="GSQ107" s="1"/>
      <c r="GSR107" s="73"/>
      <c r="GSS107" s="74"/>
      <c r="GSU107" s="75"/>
      <c r="GSX107" s="75"/>
      <c r="GSY107" s="72"/>
      <c r="GSZ107" s="68"/>
      <c r="GTA107" s="1"/>
      <c r="GTB107" s="73"/>
      <c r="GTC107" s="74"/>
      <c r="GTE107" s="75"/>
      <c r="GTH107" s="75"/>
      <c r="GTI107" s="72"/>
      <c r="GTJ107" s="68"/>
      <c r="GTK107" s="1"/>
      <c r="GTL107" s="73"/>
      <c r="GTM107" s="74"/>
      <c r="GTO107" s="75"/>
      <c r="GTR107" s="75"/>
      <c r="GTS107" s="72"/>
      <c r="GTT107" s="68"/>
      <c r="GTU107" s="1"/>
      <c r="GTV107" s="73"/>
      <c r="GTW107" s="74"/>
      <c r="GTY107" s="75"/>
      <c r="GUB107" s="75"/>
      <c r="GUC107" s="72"/>
      <c r="GUD107" s="68"/>
      <c r="GUE107" s="1"/>
      <c r="GUF107" s="73"/>
      <c r="GUG107" s="74"/>
      <c r="GUI107" s="75"/>
      <c r="GUL107" s="75"/>
      <c r="GUM107" s="72"/>
      <c r="GUN107" s="68"/>
      <c r="GUO107" s="1"/>
      <c r="GUP107" s="73"/>
      <c r="GUQ107" s="74"/>
      <c r="GUS107" s="75"/>
      <c r="GUV107" s="75"/>
      <c r="GUW107" s="72"/>
      <c r="GUX107" s="68"/>
      <c r="GUY107" s="1"/>
      <c r="GUZ107" s="73"/>
      <c r="GVA107" s="74"/>
      <c r="GVC107" s="75"/>
      <c r="GVF107" s="75"/>
      <c r="GVG107" s="72"/>
      <c r="GVH107" s="68"/>
      <c r="GVI107" s="1"/>
      <c r="GVJ107" s="73"/>
      <c r="GVK107" s="74"/>
      <c r="GVM107" s="75"/>
      <c r="GVP107" s="75"/>
      <c r="GVQ107" s="72"/>
      <c r="GVR107" s="68"/>
      <c r="GVS107" s="1"/>
      <c r="GVT107" s="73"/>
      <c r="GVU107" s="74"/>
      <c r="GVW107" s="75"/>
      <c r="GVZ107" s="75"/>
      <c r="GWA107" s="72"/>
      <c r="GWB107" s="68"/>
      <c r="GWC107" s="1"/>
      <c r="GWD107" s="73"/>
      <c r="GWE107" s="74"/>
      <c r="GWG107" s="75"/>
      <c r="GWJ107" s="75"/>
      <c r="GWK107" s="72"/>
      <c r="GWL107" s="68"/>
      <c r="GWM107" s="1"/>
      <c r="GWN107" s="73"/>
      <c r="GWO107" s="74"/>
      <c r="GWQ107" s="75"/>
      <c r="GWT107" s="75"/>
      <c r="GWU107" s="72"/>
      <c r="GWV107" s="68"/>
      <c r="GWW107" s="1"/>
      <c r="GWX107" s="73"/>
      <c r="GWY107" s="74"/>
      <c r="GXA107" s="75"/>
      <c r="GXD107" s="75"/>
      <c r="GXE107" s="72"/>
      <c r="GXF107" s="68"/>
      <c r="GXG107" s="1"/>
      <c r="GXH107" s="73"/>
      <c r="GXI107" s="74"/>
      <c r="GXK107" s="75"/>
      <c r="GXN107" s="75"/>
      <c r="GXO107" s="72"/>
      <c r="GXP107" s="68"/>
      <c r="GXQ107" s="1"/>
      <c r="GXR107" s="73"/>
      <c r="GXS107" s="74"/>
      <c r="GXU107" s="75"/>
      <c r="GXX107" s="75"/>
      <c r="GXY107" s="72"/>
      <c r="GXZ107" s="68"/>
      <c r="GYA107" s="1"/>
      <c r="GYB107" s="73"/>
      <c r="GYC107" s="74"/>
      <c r="GYE107" s="75"/>
      <c r="GYH107" s="75"/>
      <c r="GYI107" s="72"/>
      <c r="GYJ107" s="68"/>
      <c r="GYK107" s="1"/>
      <c r="GYL107" s="73"/>
      <c r="GYM107" s="74"/>
      <c r="GYO107" s="75"/>
      <c r="GYR107" s="75"/>
      <c r="GYS107" s="72"/>
      <c r="GYT107" s="68"/>
      <c r="GYU107" s="1"/>
      <c r="GYV107" s="73"/>
      <c r="GYW107" s="74"/>
      <c r="GYY107" s="75"/>
      <c r="GZB107" s="75"/>
      <c r="GZC107" s="72"/>
      <c r="GZD107" s="68"/>
      <c r="GZE107" s="1"/>
      <c r="GZF107" s="73"/>
      <c r="GZG107" s="74"/>
      <c r="GZI107" s="75"/>
      <c r="GZL107" s="75"/>
      <c r="GZM107" s="72"/>
      <c r="GZN107" s="68"/>
      <c r="GZO107" s="1"/>
      <c r="GZP107" s="73"/>
      <c r="GZQ107" s="74"/>
      <c r="GZS107" s="75"/>
      <c r="GZV107" s="75"/>
      <c r="GZW107" s="72"/>
      <c r="GZX107" s="68"/>
      <c r="GZY107" s="1"/>
      <c r="GZZ107" s="73"/>
      <c r="HAA107" s="74"/>
      <c r="HAC107" s="75"/>
      <c r="HAF107" s="75"/>
      <c r="HAG107" s="72"/>
      <c r="HAH107" s="68"/>
      <c r="HAI107" s="1"/>
      <c r="HAJ107" s="73"/>
      <c r="HAK107" s="74"/>
      <c r="HAM107" s="75"/>
      <c r="HAP107" s="75"/>
      <c r="HAQ107" s="72"/>
      <c r="HAR107" s="68"/>
      <c r="HAS107" s="1"/>
      <c r="HAT107" s="73"/>
      <c r="HAU107" s="74"/>
      <c r="HAW107" s="75"/>
      <c r="HAZ107" s="75"/>
      <c r="HBA107" s="72"/>
      <c r="HBB107" s="68"/>
      <c r="HBC107" s="1"/>
      <c r="HBD107" s="73"/>
      <c r="HBE107" s="74"/>
      <c r="HBG107" s="75"/>
      <c r="HBJ107" s="75"/>
      <c r="HBK107" s="72"/>
      <c r="HBL107" s="68"/>
      <c r="HBM107" s="1"/>
      <c r="HBN107" s="73"/>
      <c r="HBO107" s="74"/>
      <c r="HBQ107" s="75"/>
      <c r="HBT107" s="75"/>
      <c r="HBU107" s="72"/>
      <c r="HBV107" s="68"/>
      <c r="HBW107" s="1"/>
      <c r="HBX107" s="73"/>
      <c r="HBY107" s="74"/>
      <c r="HCA107" s="75"/>
      <c r="HCD107" s="75"/>
      <c r="HCE107" s="72"/>
      <c r="HCF107" s="68"/>
      <c r="HCG107" s="1"/>
      <c r="HCH107" s="73"/>
      <c r="HCI107" s="74"/>
      <c r="HCK107" s="75"/>
      <c r="HCN107" s="75"/>
      <c r="HCO107" s="72"/>
      <c r="HCP107" s="68"/>
      <c r="HCQ107" s="1"/>
      <c r="HCR107" s="73"/>
      <c r="HCS107" s="74"/>
      <c r="HCU107" s="75"/>
      <c r="HCX107" s="75"/>
      <c r="HCY107" s="72"/>
      <c r="HCZ107" s="68"/>
      <c r="HDA107" s="1"/>
      <c r="HDB107" s="73"/>
      <c r="HDC107" s="74"/>
      <c r="HDE107" s="75"/>
      <c r="HDH107" s="75"/>
      <c r="HDI107" s="72"/>
      <c r="HDJ107" s="68"/>
      <c r="HDK107" s="1"/>
      <c r="HDL107" s="73"/>
      <c r="HDM107" s="74"/>
      <c r="HDO107" s="75"/>
      <c r="HDR107" s="75"/>
      <c r="HDS107" s="72"/>
      <c r="HDT107" s="68"/>
      <c r="HDU107" s="1"/>
      <c r="HDV107" s="73"/>
      <c r="HDW107" s="74"/>
      <c r="HDY107" s="75"/>
      <c r="HEB107" s="75"/>
      <c r="HEC107" s="72"/>
      <c r="HED107" s="68"/>
      <c r="HEE107" s="1"/>
      <c r="HEF107" s="73"/>
      <c r="HEG107" s="74"/>
      <c r="HEI107" s="75"/>
      <c r="HEL107" s="75"/>
      <c r="HEM107" s="72"/>
      <c r="HEN107" s="68"/>
      <c r="HEO107" s="1"/>
      <c r="HEP107" s="73"/>
      <c r="HEQ107" s="74"/>
      <c r="HES107" s="75"/>
      <c r="HEV107" s="75"/>
      <c r="HEW107" s="72"/>
      <c r="HEX107" s="68"/>
      <c r="HEY107" s="1"/>
      <c r="HEZ107" s="73"/>
      <c r="HFA107" s="74"/>
      <c r="HFC107" s="75"/>
      <c r="HFF107" s="75"/>
      <c r="HFG107" s="72"/>
      <c r="HFH107" s="68"/>
      <c r="HFI107" s="1"/>
      <c r="HFJ107" s="73"/>
      <c r="HFK107" s="74"/>
      <c r="HFM107" s="75"/>
      <c r="HFP107" s="75"/>
      <c r="HFQ107" s="72"/>
      <c r="HFR107" s="68"/>
      <c r="HFS107" s="1"/>
      <c r="HFT107" s="73"/>
      <c r="HFU107" s="74"/>
      <c r="HFW107" s="75"/>
      <c r="HFZ107" s="75"/>
      <c r="HGA107" s="72"/>
      <c r="HGB107" s="68"/>
      <c r="HGC107" s="1"/>
      <c r="HGD107" s="73"/>
      <c r="HGE107" s="74"/>
      <c r="HGG107" s="75"/>
      <c r="HGJ107" s="75"/>
      <c r="HGK107" s="72"/>
      <c r="HGL107" s="68"/>
      <c r="HGM107" s="1"/>
      <c r="HGN107" s="73"/>
      <c r="HGO107" s="74"/>
      <c r="HGQ107" s="75"/>
      <c r="HGT107" s="75"/>
      <c r="HGU107" s="72"/>
      <c r="HGV107" s="68"/>
      <c r="HGW107" s="1"/>
      <c r="HGX107" s="73"/>
      <c r="HGY107" s="74"/>
      <c r="HHA107" s="75"/>
      <c r="HHD107" s="75"/>
      <c r="HHE107" s="72"/>
      <c r="HHF107" s="68"/>
      <c r="HHG107" s="1"/>
      <c r="HHH107" s="73"/>
      <c r="HHI107" s="74"/>
      <c r="HHK107" s="75"/>
      <c r="HHN107" s="75"/>
      <c r="HHO107" s="72"/>
      <c r="HHP107" s="68"/>
      <c r="HHQ107" s="1"/>
      <c r="HHR107" s="73"/>
      <c r="HHS107" s="74"/>
      <c r="HHU107" s="75"/>
      <c r="HHX107" s="75"/>
      <c r="HHY107" s="72"/>
      <c r="HHZ107" s="68"/>
      <c r="HIA107" s="1"/>
      <c r="HIB107" s="73"/>
      <c r="HIC107" s="74"/>
      <c r="HIE107" s="75"/>
      <c r="HIH107" s="75"/>
      <c r="HII107" s="72"/>
      <c r="HIJ107" s="68"/>
      <c r="HIK107" s="1"/>
      <c r="HIL107" s="73"/>
      <c r="HIM107" s="74"/>
      <c r="HIO107" s="75"/>
      <c r="HIR107" s="75"/>
      <c r="HIS107" s="72"/>
      <c r="HIT107" s="68"/>
      <c r="HIU107" s="1"/>
      <c r="HIV107" s="73"/>
      <c r="HIW107" s="74"/>
      <c r="HIY107" s="75"/>
      <c r="HJB107" s="75"/>
      <c r="HJC107" s="72"/>
      <c r="HJD107" s="68"/>
      <c r="HJE107" s="1"/>
      <c r="HJF107" s="73"/>
      <c r="HJG107" s="74"/>
      <c r="HJI107" s="75"/>
      <c r="HJL107" s="75"/>
      <c r="HJM107" s="72"/>
      <c r="HJN107" s="68"/>
      <c r="HJO107" s="1"/>
      <c r="HJP107" s="73"/>
      <c r="HJQ107" s="74"/>
      <c r="HJS107" s="75"/>
      <c r="HJV107" s="75"/>
      <c r="HJW107" s="72"/>
      <c r="HJX107" s="68"/>
      <c r="HJY107" s="1"/>
      <c r="HJZ107" s="73"/>
      <c r="HKA107" s="74"/>
      <c r="HKC107" s="75"/>
      <c r="HKF107" s="75"/>
      <c r="HKG107" s="72"/>
      <c r="HKH107" s="68"/>
      <c r="HKI107" s="1"/>
      <c r="HKJ107" s="73"/>
      <c r="HKK107" s="74"/>
      <c r="HKM107" s="75"/>
      <c r="HKP107" s="75"/>
      <c r="HKQ107" s="72"/>
      <c r="HKR107" s="68"/>
      <c r="HKS107" s="1"/>
      <c r="HKT107" s="73"/>
      <c r="HKU107" s="74"/>
      <c r="HKW107" s="75"/>
      <c r="HKZ107" s="75"/>
      <c r="HLA107" s="72"/>
      <c r="HLB107" s="68"/>
      <c r="HLC107" s="1"/>
      <c r="HLD107" s="73"/>
      <c r="HLE107" s="74"/>
      <c r="HLG107" s="75"/>
      <c r="HLJ107" s="75"/>
      <c r="HLK107" s="72"/>
      <c r="HLL107" s="68"/>
      <c r="HLM107" s="1"/>
      <c r="HLN107" s="73"/>
      <c r="HLO107" s="74"/>
      <c r="HLQ107" s="75"/>
      <c r="HLT107" s="75"/>
      <c r="HLU107" s="72"/>
      <c r="HLV107" s="68"/>
      <c r="HLW107" s="1"/>
      <c r="HLX107" s="73"/>
      <c r="HLY107" s="74"/>
      <c r="HMA107" s="75"/>
      <c r="HMD107" s="75"/>
      <c r="HME107" s="72"/>
      <c r="HMF107" s="68"/>
      <c r="HMG107" s="1"/>
      <c r="HMH107" s="73"/>
      <c r="HMI107" s="74"/>
      <c r="HMK107" s="75"/>
      <c r="HMN107" s="75"/>
      <c r="HMO107" s="72"/>
      <c r="HMP107" s="68"/>
      <c r="HMQ107" s="1"/>
      <c r="HMR107" s="73"/>
      <c r="HMS107" s="74"/>
      <c r="HMU107" s="75"/>
      <c r="HMX107" s="75"/>
      <c r="HMY107" s="72"/>
      <c r="HMZ107" s="68"/>
      <c r="HNA107" s="1"/>
      <c r="HNB107" s="73"/>
      <c r="HNC107" s="74"/>
      <c r="HNE107" s="75"/>
      <c r="HNH107" s="75"/>
      <c r="HNI107" s="72"/>
      <c r="HNJ107" s="68"/>
      <c r="HNK107" s="1"/>
      <c r="HNL107" s="73"/>
      <c r="HNM107" s="74"/>
      <c r="HNO107" s="75"/>
      <c r="HNR107" s="75"/>
      <c r="HNS107" s="72"/>
      <c r="HNT107" s="68"/>
      <c r="HNU107" s="1"/>
      <c r="HNV107" s="73"/>
      <c r="HNW107" s="74"/>
      <c r="HNY107" s="75"/>
      <c r="HOB107" s="75"/>
      <c r="HOC107" s="72"/>
      <c r="HOD107" s="68"/>
      <c r="HOE107" s="1"/>
      <c r="HOF107" s="73"/>
      <c r="HOG107" s="74"/>
      <c r="HOI107" s="75"/>
      <c r="HOL107" s="75"/>
      <c r="HOM107" s="72"/>
      <c r="HON107" s="68"/>
      <c r="HOO107" s="1"/>
      <c r="HOP107" s="73"/>
      <c r="HOQ107" s="74"/>
      <c r="HOS107" s="75"/>
      <c r="HOV107" s="75"/>
      <c r="HOW107" s="72"/>
      <c r="HOX107" s="68"/>
      <c r="HOY107" s="1"/>
      <c r="HOZ107" s="73"/>
      <c r="HPA107" s="74"/>
      <c r="HPC107" s="75"/>
      <c r="HPF107" s="75"/>
      <c r="HPG107" s="72"/>
      <c r="HPH107" s="68"/>
      <c r="HPI107" s="1"/>
      <c r="HPJ107" s="73"/>
      <c r="HPK107" s="74"/>
      <c r="HPM107" s="75"/>
      <c r="HPP107" s="75"/>
      <c r="HPQ107" s="72"/>
      <c r="HPR107" s="68"/>
      <c r="HPS107" s="1"/>
      <c r="HPT107" s="73"/>
      <c r="HPU107" s="74"/>
      <c r="HPW107" s="75"/>
      <c r="HPZ107" s="75"/>
      <c r="HQA107" s="72"/>
      <c r="HQB107" s="68"/>
      <c r="HQC107" s="1"/>
      <c r="HQD107" s="73"/>
      <c r="HQE107" s="74"/>
      <c r="HQG107" s="75"/>
      <c r="HQJ107" s="75"/>
      <c r="HQK107" s="72"/>
      <c r="HQL107" s="68"/>
      <c r="HQM107" s="1"/>
      <c r="HQN107" s="73"/>
      <c r="HQO107" s="74"/>
      <c r="HQQ107" s="75"/>
      <c r="HQT107" s="75"/>
      <c r="HQU107" s="72"/>
      <c r="HQV107" s="68"/>
      <c r="HQW107" s="1"/>
      <c r="HQX107" s="73"/>
      <c r="HQY107" s="74"/>
      <c r="HRA107" s="75"/>
      <c r="HRD107" s="75"/>
      <c r="HRE107" s="72"/>
      <c r="HRF107" s="68"/>
      <c r="HRG107" s="1"/>
      <c r="HRH107" s="73"/>
      <c r="HRI107" s="74"/>
      <c r="HRK107" s="75"/>
      <c r="HRN107" s="75"/>
      <c r="HRO107" s="72"/>
      <c r="HRP107" s="68"/>
      <c r="HRQ107" s="1"/>
      <c r="HRR107" s="73"/>
      <c r="HRS107" s="74"/>
      <c r="HRU107" s="75"/>
      <c r="HRX107" s="75"/>
      <c r="HRY107" s="72"/>
      <c r="HRZ107" s="68"/>
      <c r="HSA107" s="1"/>
      <c r="HSB107" s="73"/>
      <c r="HSC107" s="74"/>
      <c r="HSE107" s="75"/>
      <c r="HSH107" s="75"/>
      <c r="HSI107" s="72"/>
      <c r="HSJ107" s="68"/>
      <c r="HSK107" s="1"/>
      <c r="HSL107" s="73"/>
      <c r="HSM107" s="74"/>
      <c r="HSO107" s="75"/>
      <c r="HSR107" s="75"/>
      <c r="HSS107" s="72"/>
      <c r="HST107" s="68"/>
      <c r="HSU107" s="1"/>
      <c r="HSV107" s="73"/>
      <c r="HSW107" s="74"/>
      <c r="HSY107" s="75"/>
      <c r="HTB107" s="75"/>
      <c r="HTC107" s="72"/>
      <c r="HTD107" s="68"/>
      <c r="HTE107" s="1"/>
      <c r="HTF107" s="73"/>
      <c r="HTG107" s="74"/>
      <c r="HTI107" s="75"/>
      <c r="HTL107" s="75"/>
      <c r="HTM107" s="72"/>
      <c r="HTN107" s="68"/>
      <c r="HTO107" s="1"/>
      <c r="HTP107" s="73"/>
      <c r="HTQ107" s="74"/>
      <c r="HTS107" s="75"/>
      <c r="HTV107" s="75"/>
      <c r="HTW107" s="72"/>
      <c r="HTX107" s="68"/>
      <c r="HTY107" s="1"/>
      <c r="HTZ107" s="73"/>
      <c r="HUA107" s="74"/>
      <c r="HUC107" s="75"/>
      <c r="HUF107" s="75"/>
      <c r="HUG107" s="72"/>
      <c r="HUH107" s="68"/>
      <c r="HUI107" s="1"/>
      <c r="HUJ107" s="73"/>
      <c r="HUK107" s="74"/>
      <c r="HUM107" s="75"/>
      <c r="HUP107" s="75"/>
      <c r="HUQ107" s="72"/>
      <c r="HUR107" s="68"/>
      <c r="HUS107" s="1"/>
      <c r="HUT107" s="73"/>
      <c r="HUU107" s="74"/>
      <c r="HUW107" s="75"/>
      <c r="HUZ107" s="75"/>
      <c r="HVA107" s="72"/>
      <c r="HVB107" s="68"/>
      <c r="HVC107" s="1"/>
      <c r="HVD107" s="73"/>
      <c r="HVE107" s="74"/>
      <c r="HVG107" s="75"/>
      <c r="HVJ107" s="75"/>
      <c r="HVK107" s="72"/>
      <c r="HVL107" s="68"/>
      <c r="HVM107" s="1"/>
      <c r="HVN107" s="73"/>
      <c r="HVO107" s="74"/>
      <c r="HVQ107" s="75"/>
      <c r="HVT107" s="75"/>
      <c r="HVU107" s="72"/>
      <c r="HVV107" s="68"/>
      <c r="HVW107" s="1"/>
      <c r="HVX107" s="73"/>
      <c r="HVY107" s="74"/>
      <c r="HWA107" s="75"/>
      <c r="HWD107" s="75"/>
      <c r="HWE107" s="72"/>
      <c r="HWF107" s="68"/>
      <c r="HWG107" s="1"/>
      <c r="HWH107" s="73"/>
      <c r="HWI107" s="74"/>
      <c r="HWK107" s="75"/>
      <c r="HWN107" s="75"/>
      <c r="HWO107" s="72"/>
      <c r="HWP107" s="68"/>
      <c r="HWQ107" s="1"/>
      <c r="HWR107" s="73"/>
      <c r="HWS107" s="74"/>
      <c r="HWU107" s="75"/>
      <c r="HWX107" s="75"/>
      <c r="HWY107" s="72"/>
      <c r="HWZ107" s="68"/>
      <c r="HXA107" s="1"/>
      <c r="HXB107" s="73"/>
      <c r="HXC107" s="74"/>
      <c r="HXE107" s="75"/>
      <c r="HXH107" s="75"/>
      <c r="HXI107" s="72"/>
      <c r="HXJ107" s="68"/>
      <c r="HXK107" s="1"/>
      <c r="HXL107" s="73"/>
      <c r="HXM107" s="74"/>
      <c r="HXO107" s="75"/>
      <c r="HXR107" s="75"/>
      <c r="HXS107" s="72"/>
      <c r="HXT107" s="68"/>
      <c r="HXU107" s="1"/>
      <c r="HXV107" s="73"/>
      <c r="HXW107" s="74"/>
      <c r="HXY107" s="75"/>
      <c r="HYB107" s="75"/>
      <c r="HYC107" s="72"/>
      <c r="HYD107" s="68"/>
      <c r="HYE107" s="1"/>
      <c r="HYF107" s="73"/>
      <c r="HYG107" s="74"/>
      <c r="HYI107" s="75"/>
      <c r="HYL107" s="75"/>
      <c r="HYM107" s="72"/>
      <c r="HYN107" s="68"/>
      <c r="HYO107" s="1"/>
      <c r="HYP107" s="73"/>
      <c r="HYQ107" s="74"/>
      <c r="HYS107" s="75"/>
      <c r="HYV107" s="75"/>
      <c r="HYW107" s="72"/>
      <c r="HYX107" s="68"/>
      <c r="HYY107" s="1"/>
      <c r="HYZ107" s="73"/>
      <c r="HZA107" s="74"/>
      <c r="HZC107" s="75"/>
      <c r="HZF107" s="75"/>
      <c r="HZG107" s="72"/>
      <c r="HZH107" s="68"/>
      <c r="HZI107" s="1"/>
      <c r="HZJ107" s="73"/>
      <c r="HZK107" s="74"/>
      <c r="HZM107" s="75"/>
      <c r="HZP107" s="75"/>
      <c r="HZQ107" s="72"/>
      <c r="HZR107" s="68"/>
      <c r="HZS107" s="1"/>
      <c r="HZT107" s="73"/>
      <c r="HZU107" s="74"/>
      <c r="HZW107" s="75"/>
      <c r="HZZ107" s="75"/>
      <c r="IAA107" s="72"/>
      <c r="IAB107" s="68"/>
      <c r="IAC107" s="1"/>
      <c r="IAD107" s="73"/>
      <c r="IAE107" s="74"/>
      <c r="IAG107" s="75"/>
      <c r="IAJ107" s="75"/>
      <c r="IAK107" s="72"/>
      <c r="IAL107" s="68"/>
      <c r="IAM107" s="1"/>
      <c r="IAN107" s="73"/>
      <c r="IAO107" s="74"/>
      <c r="IAQ107" s="75"/>
      <c r="IAT107" s="75"/>
      <c r="IAU107" s="72"/>
      <c r="IAV107" s="68"/>
      <c r="IAW107" s="1"/>
      <c r="IAX107" s="73"/>
      <c r="IAY107" s="74"/>
      <c r="IBA107" s="75"/>
      <c r="IBD107" s="75"/>
      <c r="IBE107" s="72"/>
      <c r="IBF107" s="68"/>
      <c r="IBG107" s="1"/>
      <c r="IBH107" s="73"/>
      <c r="IBI107" s="74"/>
      <c r="IBK107" s="75"/>
      <c r="IBN107" s="75"/>
      <c r="IBO107" s="72"/>
      <c r="IBP107" s="68"/>
      <c r="IBQ107" s="1"/>
      <c r="IBR107" s="73"/>
      <c r="IBS107" s="74"/>
      <c r="IBU107" s="75"/>
      <c r="IBX107" s="75"/>
      <c r="IBY107" s="72"/>
      <c r="IBZ107" s="68"/>
      <c r="ICA107" s="1"/>
      <c r="ICB107" s="73"/>
      <c r="ICC107" s="74"/>
      <c r="ICE107" s="75"/>
      <c r="ICH107" s="75"/>
      <c r="ICI107" s="72"/>
      <c r="ICJ107" s="68"/>
      <c r="ICK107" s="1"/>
      <c r="ICL107" s="73"/>
      <c r="ICM107" s="74"/>
      <c r="ICO107" s="75"/>
      <c r="ICR107" s="75"/>
      <c r="ICS107" s="72"/>
      <c r="ICT107" s="68"/>
      <c r="ICU107" s="1"/>
      <c r="ICV107" s="73"/>
      <c r="ICW107" s="74"/>
      <c r="ICY107" s="75"/>
      <c r="IDB107" s="75"/>
      <c r="IDC107" s="72"/>
      <c r="IDD107" s="68"/>
      <c r="IDE107" s="1"/>
      <c r="IDF107" s="73"/>
      <c r="IDG107" s="74"/>
      <c r="IDI107" s="75"/>
      <c r="IDL107" s="75"/>
      <c r="IDM107" s="72"/>
      <c r="IDN107" s="68"/>
      <c r="IDO107" s="1"/>
      <c r="IDP107" s="73"/>
      <c r="IDQ107" s="74"/>
      <c r="IDS107" s="75"/>
      <c r="IDV107" s="75"/>
      <c r="IDW107" s="72"/>
      <c r="IDX107" s="68"/>
      <c r="IDY107" s="1"/>
      <c r="IDZ107" s="73"/>
      <c r="IEA107" s="74"/>
      <c r="IEC107" s="75"/>
      <c r="IEF107" s="75"/>
      <c r="IEG107" s="72"/>
      <c r="IEH107" s="68"/>
      <c r="IEI107" s="1"/>
      <c r="IEJ107" s="73"/>
      <c r="IEK107" s="74"/>
      <c r="IEM107" s="75"/>
      <c r="IEP107" s="75"/>
      <c r="IEQ107" s="72"/>
      <c r="IER107" s="68"/>
      <c r="IES107" s="1"/>
      <c r="IET107" s="73"/>
      <c r="IEU107" s="74"/>
      <c r="IEW107" s="75"/>
      <c r="IEZ107" s="75"/>
      <c r="IFA107" s="72"/>
      <c r="IFB107" s="68"/>
      <c r="IFC107" s="1"/>
      <c r="IFD107" s="73"/>
      <c r="IFE107" s="74"/>
      <c r="IFG107" s="75"/>
      <c r="IFJ107" s="75"/>
      <c r="IFK107" s="72"/>
      <c r="IFL107" s="68"/>
      <c r="IFM107" s="1"/>
      <c r="IFN107" s="73"/>
      <c r="IFO107" s="74"/>
      <c r="IFQ107" s="75"/>
      <c r="IFT107" s="75"/>
      <c r="IFU107" s="72"/>
      <c r="IFV107" s="68"/>
      <c r="IFW107" s="1"/>
      <c r="IFX107" s="73"/>
      <c r="IFY107" s="74"/>
      <c r="IGA107" s="75"/>
      <c r="IGD107" s="75"/>
      <c r="IGE107" s="72"/>
      <c r="IGF107" s="68"/>
      <c r="IGG107" s="1"/>
      <c r="IGH107" s="73"/>
      <c r="IGI107" s="74"/>
      <c r="IGK107" s="75"/>
      <c r="IGN107" s="75"/>
      <c r="IGO107" s="72"/>
      <c r="IGP107" s="68"/>
      <c r="IGQ107" s="1"/>
      <c r="IGR107" s="73"/>
      <c r="IGS107" s="74"/>
      <c r="IGU107" s="75"/>
      <c r="IGX107" s="75"/>
      <c r="IGY107" s="72"/>
      <c r="IGZ107" s="68"/>
      <c r="IHA107" s="1"/>
      <c r="IHB107" s="73"/>
      <c r="IHC107" s="74"/>
      <c r="IHE107" s="75"/>
      <c r="IHH107" s="75"/>
      <c r="IHI107" s="72"/>
      <c r="IHJ107" s="68"/>
      <c r="IHK107" s="1"/>
      <c r="IHL107" s="73"/>
      <c r="IHM107" s="74"/>
      <c r="IHO107" s="75"/>
      <c r="IHR107" s="75"/>
      <c r="IHS107" s="72"/>
      <c r="IHT107" s="68"/>
      <c r="IHU107" s="1"/>
      <c r="IHV107" s="73"/>
      <c r="IHW107" s="74"/>
      <c r="IHY107" s="75"/>
      <c r="IIB107" s="75"/>
      <c r="IIC107" s="72"/>
      <c r="IID107" s="68"/>
      <c r="IIE107" s="1"/>
      <c r="IIF107" s="73"/>
      <c r="IIG107" s="74"/>
      <c r="III107" s="75"/>
      <c r="IIL107" s="75"/>
      <c r="IIM107" s="72"/>
      <c r="IIN107" s="68"/>
      <c r="IIO107" s="1"/>
      <c r="IIP107" s="73"/>
      <c r="IIQ107" s="74"/>
      <c r="IIS107" s="75"/>
      <c r="IIV107" s="75"/>
      <c r="IIW107" s="72"/>
      <c r="IIX107" s="68"/>
      <c r="IIY107" s="1"/>
      <c r="IIZ107" s="73"/>
      <c r="IJA107" s="74"/>
      <c r="IJC107" s="75"/>
      <c r="IJF107" s="75"/>
      <c r="IJG107" s="72"/>
      <c r="IJH107" s="68"/>
      <c r="IJI107" s="1"/>
      <c r="IJJ107" s="73"/>
      <c r="IJK107" s="74"/>
      <c r="IJM107" s="75"/>
      <c r="IJP107" s="75"/>
      <c r="IJQ107" s="72"/>
      <c r="IJR107" s="68"/>
      <c r="IJS107" s="1"/>
      <c r="IJT107" s="73"/>
      <c r="IJU107" s="74"/>
      <c r="IJW107" s="75"/>
      <c r="IJZ107" s="75"/>
      <c r="IKA107" s="72"/>
      <c r="IKB107" s="68"/>
      <c r="IKC107" s="1"/>
      <c r="IKD107" s="73"/>
      <c r="IKE107" s="74"/>
      <c r="IKG107" s="75"/>
      <c r="IKJ107" s="75"/>
      <c r="IKK107" s="72"/>
      <c r="IKL107" s="68"/>
      <c r="IKM107" s="1"/>
      <c r="IKN107" s="73"/>
      <c r="IKO107" s="74"/>
      <c r="IKQ107" s="75"/>
      <c r="IKT107" s="75"/>
      <c r="IKU107" s="72"/>
      <c r="IKV107" s="68"/>
      <c r="IKW107" s="1"/>
      <c r="IKX107" s="73"/>
      <c r="IKY107" s="74"/>
      <c r="ILA107" s="75"/>
      <c r="ILD107" s="75"/>
      <c r="ILE107" s="72"/>
      <c r="ILF107" s="68"/>
      <c r="ILG107" s="1"/>
      <c r="ILH107" s="73"/>
      <c r="ILI107" s="74"/>
      <c r="ILK107" s="75"/>
      <c r="ILN107" s="75"/>
      <c r="ILO107" s="72"/>
      <c r="ILP107" s="68"/>
      <c r="ILQ107" s="1"/>
      <c r="ILR107" s="73"/>
      <c r="ILS107" s="74"/>
      <c r="ILU107" s="75"/>
      <c r="ILX107" s="75"/>
      <c r="ILY107" s="72"/>
      <c r="ILZ107" s="68"/>
      <c r="IMA107" s="1"/>
      <c r="IMB107" s="73"/>
      <c r="IMC107" s="74"/>
      <c r="IME107" s="75"/>
      <c r="IMH107" s="75"/>
      <c r="IMI107" s="72"/>
      <c r="IMJ107" s="68"/>
      <c r="IMK107" s="1"/>
      <c r="IML107" s="73"/>
      <c r="IMM107" s="74"/>
      <c r="IMO107" s="75"/>
      <c r="IMR107" s="75"/>
      <c r="IMS107" s="72"/>
      <c r="IMT107" s="68"/>
      <c r="IMU107" s="1"/>
      <c r="IMV107" s="73"/>
      <c r="IMW107" s="74"/>
      <c r="IMY107" s="75"/>
      <c r="INB107" s="75"/>
      <c r="INC107" s="72"/>
      <c r="IND107" s="68"/>
      <c r="INE107" s="1"/>
      <c r="INF107" s="73"/>
      <c r="ING107" s="74"/>
      <c r="INI107" s="75"/>
      <c r="INL107" s="75"/>
      <c r="INM107" s="72"/>
      <c r="INN107" s="68"/>
      <c r="INO107" s="1"/>
      <c r="INP107" s="73"/>
      <c r="INQ107" s="74"/>
      <c r="INS107" s="75"/>
      <c r="INV107" s="75"/>
      <c r="INW107" s="72"/>
      <c r="INX107" s="68"/>
      <c r="INY107" s="1"/>
      <c r="INZ107" s="73"/>
      <c r="IOA107" s="74"/>
      <c r="IOC107" s="75"/>
      <c r="IOF107" s="75"/>
      <c r="IOG107" s="72"/>
      <c r="IOH107" s="68"/>
      <c r="IOI107" s="1"/>
      <c r="IOJ107" s="73"/>
      <c r="IOK107" s="74"/>
      <c r="IOM107" s="75"/>
      <c r="IOP107" s="75"/>
      <c r="IOQ107" s="72"/>
      <c r="IOR107" s="68"/>
      <c r="IOS107" s="1"/>
      <c r="IOT107" s="73"/>
      <c r="IOU107" s="74"/>
      <c r="IOW107" s="75"/>
      <c r="IOZ107" s="75"/>
      <c r="IPA107" s="72"/>
      <c r="IPB107" s="68"/>
      <c r="IPC107" s="1"/>
      <c r="IPD107" s="73"/>
      <c r="IPE107" s="74"/>
      <c r="IPG107" s="75"/>
      <c r="IPJ107" s="75"/>
      <c r="IPK107" s="72"/>
      <c r="IPL107" s="68"/>
      <c r="IPM107" s="1"/>
      <c r="IPN107" s="73"/>
      <c r="IPO107" s="74"/>
      <c r="IPQ107" s="75"/>
      <c r="IPT107" s="75"/>
      <c r="IPU107" s="72"/>
      <c r="IPV107" s="68"/>
      <c r="IPW107" s="1"/>
      <c r="IPX107" s="73"/>
      <c r="IPY107" s="74"/>
      <c r="IQA107" s="75"/>
      <c r="IQD107" s="75"/>
      <c r="IQE107" s="72"/>
      <c r="IQF107" s="68"/>
      <c r="IQG107" s="1"/>
      <c r="IQH107" s="73"/>
      <c r="IQI107" s="74"/>
      <c r="IQK107" s="75"/>
      <c r="IQN107" s="75"/>
      <c r="IQO107" s="72"/>
      <c r="IQP107" s="68"/>
      <c r="IQQ107" s="1"/>
      <c r="IQR107" s="73"/>
      <c r="IQS107" s="74"/>
      <c r="IQU107" s="75"/>
      <c r="IQX107" s="75"/>
      <c r="IQY107" s="72"/>
      <c r="IQZ107" s="68"/>
      <c r="IRA107" s="1"/>
      <c r="IRB107" s="73"/>
      <c r="IRC107" s="74"/>
      <c r="IRE107" s="75"/>
      <c r="IRH107" s="75"/>
      <c r="IRI107" s="72"/>
      <c r="IRJ107" s="68"/>
      <c r="IRK107" s="1"/>
      <c r="IRL107" s="73"/>
      <c r="IRM107" s="74"/>
      <c r="IRO107" s="75"/>
      <c r="IRR107" s="75"/>
      <c r="IRS107" s="72"/>
      <c r="IRT107" s="68"/>
      <c r="IRU107" s="1"/>
      <c r="IRV107" s="73"/>
      <c r="IRW107" s="74"/>
      <c r="IRY107" s="75"/>
      <c r="ISB107" s="75"/>
      <c r="ISC107" s="72"/>
      <c r="ISD107" s="68"/>
      <c r="ISE107" s="1"/>
      <c r="ISF107" s="73"/>
      <c r="ISG107" s="74"/>
      <c r="ISI107" s="75"/>
      <c r="ISL107" s="75"/>
      <c r="ISM107" s="72"/>
      <c r="ISN107" s="68"/>
      <c r="ISO107" s="1"/>
      <c r="ISP107" s="73"/>
      <c r="ISQ107" s="74"/>
      <c r="ISS107" s="75"/>
      <c r="ISV107" s="75"/>
      <c r="ISW107" s="72"/>
      <c r="ISX107" s="68"/>
      <c r="ISY107" s="1"/>
      <c r="ISZ107" s="73"/>
      <c r="ITA107" s="74"/>
      <c r="ITC107" s="75"/>
      <c r="ITF107" s="75"/>
      <c r="ITG107" s="72"/>
      <c r="ITH107" s="68"/>
      <c r="ITI107" s="1"/>
      <c r="ITJ107" s="73"/>
      <c r="ITK107" s="74"/>
      <c r="ITM107" s="75"/>
      <c r="ITP107" s="75"/>
      <c r="ITQ107" s="72"/>
      <c r="ITR107" s="68"/>
      <c r="ITS107" s="1"/>
      <c r="ITT107" s="73"/>
      <c r="ITU107" s="74"/>
      <c r="ITW107" s="75"/>
      <c r="ITZ107" s="75"/>
      <c r="IUA107" s="72"/>
      <c r="IUB107" s="68"/>
      <c r="IUC107" s="1"/>
      <c r="IUD107" s="73"/>
      <c r="IUE107" s="74"/>
      <c r="IUG107" s="75"/>
      <c r="IUJ107" s="75"/>
      <c r="IUK107" s="72"/>
      <c r="IUL107" s="68"/>
      <c r="IUM107" s="1"/>
      <c r="IUN107" s="73"/>
      <c r="IUO107" s="74"/>
      <c r="IUQ107" s="75"/>
      <c r="IUT107" s="75"/>
      <c r="IUU107" s="72"/>
      <c r="IUV107" s="68"/>
      <c r="IUW107" s="1"/>
      <c r="IUX107" s="73"/>
      <c r="IUY107" s="74"/>
      <c r="IVA107" s="75"/>
      <c r="IVD107" s="75"/>
      <c r="IVE107" s="72"/>
      <c r="IVF107" s="68"/>
      <c r="IVG107" s="1"/>
      <c r="IVH107" s="73"/>
      <c r="IVI107" s="74"/>
      <c r="IVK107" s="75"/>
      <c r="IVN107" s="75"/>
      <c r="IVO107" s="72"/>
      <c r="IVP107" s="68"/>
      <c r="IVQ107" s="1"/>
      <c r="IVR107" s="73"/>
      <c r="IVS107" s="74"/>
      <c r="IVU107" s="75"/>
      <c r="IVX107" s="75"/>
      <c r="IVY107" s="72"/>
      <c r="IVZ107" s="68"/>
      <c r="IWA107" s="1"/>
      <c r="IWB107" s="73"/>
      <c r="IWC107" s="74"/>
      <c r="IWE107" s="75"/>
      <c r="IWH107" s="75"/>
      <c r="IWI107" s="72"/>
      <c r="IWJ107" s="68"/>
      <c r="IWK107" s="1"/>
      <c r="IWL107" s="73"/>
      <c r="IWM107" s="74"/>
      <c r="IWO107" s="75"/>
      <c r="IWR107" s="75"/>
      <c r="IWS107" s="72"/>
      <c r="IWT107" s="68"/>
      <c r="IWU107" s="1"/>
      <c r="IWV107" s="73"/>
      <c r="IWW107" s="74"/>
      <c r="IWY107" s="75"/>
      <c r="IXB107" s="75"/>
      <c r="IXC107" s="72"/>
      <c r="IXD107" s="68"/>
      <c r="IXE107" s="1"/>
      <c r="IXF107" s="73"/>
      <c r="IXG107" s="74"/>
      <c r="IXI107" s="75"/>
      <c r="IXL107" s="75"/>
      <c r="IXM107" s="72"/>
      <c r="IXN107" s="68"/>
      <c r="IXO107" s="1"/>
      <c r="IXP107" s="73"/>
      <c r="IXQ107" s="74"/>
      <c r="IXS107" s="75"/>
      <c r="IXV107" s="75"/>
      <c r="IXW107" s="72"/>
      <c r="IXX107" s="68"/>
      <c r="IXY107" s="1"/>
      <c r="IXZ107" s="73"/>
      <c r="IYA107" s="74"/>
      <c r="IYC107" s="75"/>
      <c r="IYF107" s="75"/>
      <c r="IYG107" s="72"/>
      <c r="IYH107" s="68"/>
      <c r="IYI107" s="1"/>
      <c r="IYJ107" s="73"/>
      <c r="IYK107" s="74"/>
      <c r="IYM107" s="75"/>
      <c r="IYP107" s="75"/>
      <c r="IYQ107" s="72"/>
      <c r="IYR107" s="68"/>
      <c r="IYS107" s="1"/>
      <c r="IYT107" s="73"/>
      <c r="IYU107" s="74"/>
      <c r="IYW107" s="75"/>
      <c r="IYZ107" s="75"/>
      <c r="IZA107" s="72"/>
      <c r="IZB107" s="68"/>
      <c r="IZC107" s="1"/>
      <c r="IZD107" s="73"/>
      <c r="IZE107" s="74"/>
      <c r="IZG107" s="75"/>
      <c r="IZJ107" s="75"/>
      <c r="IZK107" s="72"/>
      <c r="IZL107" s="68"/>
      <c r="IZM107" s="1"/>
      <c r="IZN107" s="73"/>
      <c r="IZO107" s="74"/>
      <c r="IZQ107" s="75"/>
      <c r="IZT107" s="75"/>
      <c r="IZU107" s="72"/>
      <c r="IZV107" s="68"/>
      <c r="IZW107" s="1"/>
      <c r="IZX107" s="73"/>
      <c r="IZY107" s="74"/>
      <c r="JAA107" s="75"/>
      <c r="JAD107" s="75"/>
      <c r="JAE107" s="72"/>
      <c r="JAF107" s="68"/>
      <c r="JAG107" s="1"/>
      <c r="JAH107" s="73"/>
      <c r="JAI107" s="74"/>
      <c r="JAK107" s="75"/>
      <c r="JAN107" s="75"/>
      <c r="JAO107" s="72"/>
      <c r="JAP107" s="68"/>
      <c r="JAQ107" s="1"/>
      <c r="JAR107" s="73"/>
      <c r="JAS107" s="74"/>
      <c r="JAU107" s="75"/>
      <c r="JAX107" s="75"/>
      <c r="JAY107" s="72"/>
      <c r="JAZ107" s="68"/>
      <c r="JBA107" s="1"/>
      <c r="JBB107" s="73"/>
      <c r="JBC107" s="74"/>
      <c r="JBE107" s="75"/>
      <c r="JBH107" s="75"/>
      <c r="JBI107" s="72"/>
      <c r="JBJ107" s="68"/>
      <c r="JBK107" s="1"/>
      <c r="JBL107" s="73"/>
      <c r="JBM107" s="74"/>
      <c r="JBO107" s="75"/>
      <c r="JBR107" s="75"/>
      <c r="JBS107" s="72"/>
      <c r="JBT107" s="68"/>
      <c r="JBU107" s="1"/>
      <c r="JBV107" s="73"/>
      <c r="JBW107" s="74"/>
      <c r="JBY107" s="75"/>
      <c r="JCB107" s="75"/>
      <c r="JCC107" s="72"/>
      <c r="JCD107" s="68"/>
      <c r="JCE107" s="1"/>
      <c r="JCF107" s="73"/>
      <c r="JCG107" s="74"/>
      <c r="JCI107" s="75"/>
      <c r="JCL107" s="75"/>
      <c r="JCM107" s="72"/>
      <c r="JCN107" s="68"/>
      <c r="JCO107" s="1"/>
      <c r="JCP107" s="73"/>
      <c r="JCQ107" s="74"/>
      <c r="JCS107" s="75"/>
      <c r="JCV107" s="75"/>
      <c r="JCW107" s="72"/>
      <c r="JCX107" s="68"/>
      <c r="JCY107" s="1"/>
      <c r="JCZ107" s="73"/>
      <c r="JDA107" s="74"/>
      <c r="JDC107" s="75"/>
      <c r="JDF107" s="75"/>
      <c r="JDG107" s="72"/>
      <c r="JDH107" s="68"/>
      <c r="JDI107" s="1"/>
      <c r="JDJ107" s="73"/>
      <c r="JDK107" s="74"/>
      <c r="JDM107" s="75"/>
      <c r="JDP107" s="75"/>
      <c r="JDQ107" s="72"/>
      <c r="JDR107" s="68"/>
      <c r="JDS107" s="1"/>
      <c r="JDT107" s="73"/>
      <c r="JDU107" s="74"/>
      <c r="JDW107" s="75"/>
      <c r="JDZ107" s="75"/>
      <c r="JEA107" s="72"/>
      <c r="JEB107" s="68"/>
      <c r="JEC107" s="1"/>
      <c r="JED107" s="73"/>
      <c r="JEE107" s="74"/>
      <c r="JEG107" s="75"/>
      <c r="JEJ107" s="75"/>
      <c r="JEK107" s="72"/>
      <c r="JEL107" s="68"/>
      <c r="JEM107" s="1"/>
      <c r="JEN107" s="73"/>
      <c r="JEO107" s="74"/>
      <c r="JEQ107" s="75"/>
      <c r="JET107" s="75"/>
      <c r="JEU107" s="72"/>
      <c r="JEV107" s="68"/>
      <c r="JEW107" s="1"/>
      <c r="JEX107" s="73"/>
      <c r="JEY107" s="74"/>
      <c r="JFA107" s="75"/>
      <c r="JFD107" s="75"/>
      <c r="JFE107" s="72"/>
      <c r="JFF107" s="68"/>
      <c r="JFG107" s="1"/>
      <c r="JFH107" s="73"/>
      <c r="JFI107" s="74"/>
      <c r="JFK107" s="75"/>
      <c r="JFN107" s="75"/>
      <c r="JFO107" s="72"/>
      <c r="JFP107" s="68"/>
      <c r="JFQ107" s="1"/>
      <c r="JFR107" s="73"/>
      <c r="JFS107" s="74"/>
      <c r="JFU107" s="75"/>
      <c r="JFX107" s="75"/>
      <c r="JFY107" s="72"/>
      <c r="JFZ107" s="68"/>
      <c r="JGA107" s="1"/>
      <c r="JGB107" s="73"/>
      <c r="JGC107" s="74"/>
      <c r="JGE107" s="75"/>
      <c r="JGH107" s="75"/>
      <c r="JGI107" s="72"/>
      <c r="JGJ107" s="68"/>
      <c r="JGK107" s="1"/>
      <c r="JGL107" s="73"/>
      <c r="JGM107" s="74"/>
      <c r="JGO107" s="75"/>
      <c r="JGR107" s="75"/>
      <c r="JGS107" s="72"/>
      <c r="JGT107" s="68"/>
      <c r="JGU107" s="1"/>
      <c r="JGV107" s="73"/>
      <c r="JGW107" s="74"/>
      <c r="JGY107" s="75"/>
      <c r="JHB107" s="75"/>
      <c r="JHC107" s="72"/>
      <c r="JHD107" s="68"/>
      <c r="JHE107" s="1"/>
      <c r="JHF107" s="73"/>
      <c r="JHG107" s="74"/>
      <c r="JHI107" s="75"/>
      <c r="JHL107" s="75"/>
      <c r="JHM107" s="72"/>
      <c r="JHN107" s="68"/>
      <c r="JHO107" s="1"/>
      <c r="JHP107" s="73"/>
      <c r="JHQ107" s="74"/>
      <c r="JHS107" s="75"/>
      <c r="JHV107" s="75"/>
      <c r="JHW107" s="72"/>
      <c r="JHX107" s="68"/>
      <c r="JHY107" s="1"/>
      <c r="JHZ107" s="73"/>
      <c r="JIA107" s="74"/>
      <c r="JIC107" s="75"/>
      <c r="JIF107" s="75"/>
      <c r="JIG107" s="72"/>
      <c r="JIH107" s="68"/>
      <c r="JII107" s="1"/>
      <c r="JIJ107" s="73"/>
      <c r="JIK107" s="74"/>
      <c r="JIM107" s="75"/>
      <c r="JIP107" s="75"/>
      <c r="JIQ107" s="72"/>
      <c r="JIR107" s="68"/>
      <c r="JIS107" s="1"/>
      <c r="JIT107" s="73"/>
      <c r="JIU107" s="74"/>
      <c r="JIW107" s="75"/>
      <c r="JIZ107" s="75"/>
      <c r="JJA107" s="72"/>
      <c r="JJB107" s="68"/>
      <c r="JJC107" s="1"/>
      <c r="JJD107" s="73"/>
      <c r="JJE107" s="74"/>
      <c r="JJG107" s="75"/>
      <c r="JJJ107" s="75"/>
      <c r="JJK107" s="72"/>
      <c r="JJL107" s="68"/>
      <c r="JJM107" s="1"/>
      <c r="JJN107" s="73"/>
      <c r="JJO107" s="74"/>
      <c r="JJQ107" s="75"/>
      <c r="JJT107" s="75"/>
      <c r="JJU107" s="72"/>
      <c r="JJV107" s="68"/>
      <c r="JJW107" s="1"/>
      <c r="JJX107" s="73"/>
      <c r="JJY107" s="74"/>
      <c r="JKA107" s="75"/>
      <c r="JKD107" s="75"/>
      <c r="JKE107" s="72"/>
      <c r="JKF107" s="68"/>
      <c r="JKG107" s="1"/>
      <c r="JKH107" s="73"/>
      <c r="JKI107" s="74"/>
      <c r="JKK107" s="75"/>
      <c r="JKN107" s="75"/>
      <c r="JKO107" s="72"/>
      <c r="JKP107" s="68"/>
      <c r="JKQ107" s="1"/>
      <c r="JKR107" s="73"/>
      <c r="JKS107" s="74"/>
      <c r="JKU107" s="75"/>
      <c r="JKX107" s="75"/>
      <c r="JKY107" s="72"/>
      <c r="JKZ107" s="68"/>
      <c r="JLA107" s="1"/>
      <c r="JLB107" s="73"/>
      <c r="JLC107" s="74"/>
      <c r="JLE107" s="75"/>
      <c r="JLH107" s="75"/>
      <c r="JLI107" s="72"/>
      <c r="JLJ107" s="68"/>
      <c r="JLK107" s="1"/>
      <c r="JLL107" s="73"/>
      <c r="JLM107" s="74"/>
      <c r="JLO107" s="75"/>
      <c r="JLR107" s="75"/>
      <c r="JLS107" s="72"/>
      <c r="JLT107" s="68"/>
      <c r="JLU107" s="1"/>
      <c r="JLV107" s="73"/>
      <c r="JLW107" s="74"/>
      <c r="JLY107" s="75"/>
      <c r="JMB107" s="75"/>
      <c r="JMC107" s="72"/>
      <c r="JMD107" s="68"/>
      <c r="JME107" s="1"/>
      <c r="JMF107" s="73"/>
      <c r="JMG107" s="74"/>
      <c r="JMI107" s="75"/>
      <c r="JML107" s="75"/>
      <c r="JMM107" s="72"/>
      <c r="JMN107" s="68"/>
      <c r="JMO107" s="1"/>
      <c r="JMP107" s="73"/>
      <c r="JMQ107" s="74"/>
      <c r="JMS107" s="75"/>
      <c r="JMV107" s="75"/>
      <c r="JMW107" s="72"/>
      <c r="JMX107" s="68"/>
      <c r="JMY107" s="1"/>
      <c r="JMZ107" s="73"/>
      <c r="JNA107" s="74"/>
      <c r="JNC107" s="75"/>
      <c r="JNF107" s="75"/>
      <c r="JNG107" s="72"/>
      <c r="JNH107" s="68"/>
      <c r="JNI107" s="1"/>
      <c r="JNJ107" s="73"/>
      <c r="JNK107" s="74"/>
      <c r="JNM107" s="75"/>
      <c r="JNP107" s="75"/>
      <c r="JNQ107" s="72"/>
      <c r="JNR107" s="68"/>
      <c r="JNS107" s="1"/>
      <c r="JNT107" s="73"/>
      <c r="JNU107" s="74"/>
      <c r="JNW107" s="75"/>
      <c r="JNZ107" s="75"/>
      <c r="JOA107" s="72"/>
      <c r="JOB107" s="68"/>
      <c r="JOC107" s="1"/>
      <c r="JOD107" s="73"/>
      <c r="JOE107" s="74"/>
      <c r="JOG107" s="75"/>
      <c r="JOJ107" s="75"/>
      <c r="JOK107" s="72"/>
      <c r="JOL107" s="68"/>
      <c r="JOM107" s="1"/>
      <c r="JON107" s="73"/>
      <c r="JOO107" s="74"/>
      <c r="JOQ107" s="75"/>
      <c r="JOT107" s="75"/>
      <c r="JOU107" s="72"/>
      <c r="JOV107" s="68"/>
      <c r="JOW107" s="1"/>
      <c r="JOX107" s="73"/>
      <c r="JOY107" s="74"/>
      <c r="JPA107" s="75"/>
      <c r="JPD107" s="75"/>
      <c r="JPE107" s="72"/>
      <c r="JPF107" s="68"/>
      <c r="JPG107" s="1"/>
      <c r="JPH107" s="73"/>
      <c r="JPI107" s="74"/>
      <c r="JPK107" s="75"/>
      <c r="JPN107" s="75"/>
      <c r="JPO107" s="72"/>
      <c r="JPP107" s="68"/>
      <c r="JPQ107" s="1"/>
      <c r="JPR107" s="73"/>
      <c r="JPS107" s="74"/>
      <c r="JPU107" s="75"/>
      <c r="JPX107" s="75"/>
      <c r="JPY107" s="72"/>
      <c r="JPZ107" s="68"/>
      <c r="JQA107" s="1"/>
      <c r="JQB107" s="73"/>
      <c r="JQC107" s="74"/>
      <c r="JQE107" s="75"/>
      <c r="JQH107" s="75"/>
      <c r="JQI107" s="72"/>
      <c r="JQJ107" s="68"/>
      <c r="JQK107" s="1"/>
      <c r="JQL107" s="73"/>
      <c r="JQM107" s="74"/>
      <c r="JQO107" s="75"/>
      <c r="JQR107" s="75"/>
      <c r="JQS107" s="72"/>
      <c r="JQT107" s="68"/>
      <c r="JQU107" s="1"/>
      <c r="JQV107" s="73"/>
      <c r="JQW107" s="74"/>
      <c r="JQY107" s="75"/>
      <c r="JRB107" s="75"/>
      <c r="JRC107" s="72"/>
      <c r="JRD107" s="68"/>
      <c r="JRE107" s="1"/>
      <c r="JRF107" s="73"/>
      <c r="JRG107" s="74"/>
      <c r="JRI107" s="75"/>
      <c r="JRL107" s="75"/>
      <c r="JRM107" s="72"/>
      <c r="JRN107" s="68"/>
      <c r="JRO107" s="1"/>
      <c r="JRP107" s="73"/>
      <c r="JRQ107" s="74"/>
      <c r="JRS107" s="75"/>
      <c r="JRV107" s="75"/>
      <c r="JRW107" s="72"/>
      <c r="JRX107" s="68"/>
      <c r="JRY107" s="1"/>
      <c r="JRZ107" s="73"/>
      <c r="JSA107" s="74"/>
      <c r="JSC107" s="75"/>
      <c r="JSF107" s="75"/>
      <c r="JSG107" s="72"/>
      <c r="JSH107" s="68"/>
      <c r="JSI107" s="1"/>
      <c r="JSJ107" s="73"/>
      <c r="JSK107" s="74"/>
      <c r="JSM107" s="75"/>
      <c r="JSP107" s="75"/>
      <c r="JSQ107" s="72"/>
      <c r="JSR107" s="68"/>
      <c r="JSS107" s="1"/>
      <c r="JST107" s="73"/>
      <c r="JSU107" s="74"/>
      <c r="JSW107" s="75"/>
      <c r="JSZ107" s="75"/>
      <c r="JTA107" s="72"/>
      <c r="JTB107" s="68"/>
      <c r="JTC107" s="1"/>
      <c r="JTD107" s="73"/>
      <c r="JTE107" s="74"/>
      <c r="JTG107" s="75"/>
      <c r="JTJ107" s="75"/>
      <c r="JTK107" s="72"/>
      <c r="JTL107" s="68"/>
      <c r="JTM107" s="1"/>
      <c r="JTN107" s="73"/>
      <c r="JTO107" s="74"/>
      <c r="JTQ107" s="75"/>
      <c r="JTT107" s="75"/>
      <c r="JTU107" s="72"/>
      <c r="JTV107" s="68"/>
      <c r="JTW107" s="1"/>
      <c r="JTX107" s="73"/>
      <c r="JTY107" s="74"/>
      <c r="JUA107" s="75"/>
      <c r="JUD107" s="75"/>
      <c r="JUE107" s="72"/>
      <c r="JUF107" s="68"/>
      <c r="JUG107" s="1"/>
      <c r="JUH107" s="73"/>
      <c r="JUI107" s="74"/>
      <c r="JUK107" s="75"/>
      <c r="JUN107" s="75"/>
      <c r="JUO107" s="72"/>
      <c r="JUP107" s="68"/>
      <c r="JUQ107" s="1"/>
      <c r="JUR107" s="73"/>
      <c r="JUS107" s="74"/>
      <c r="JUU107" s="75"/>
      <c r="JUX107" s="75"/>
      <c r="JUY107" s="72"/>
      <c r="JUZ107" s="68"/>
      <c r="JVA107" s="1"/>
      <c r="JVB107" s="73"/>
      <c r="JVC107" s="74"/>
      <c r="JVE107" s="75"/>
      <c r="JVH107" s="75"/>
      <c r="JVI107" s="72"/>
      <c r="JVJ107" s="68"/>
      <c r="JVK107" s="1"/>
      <c r="JVL107" s="73"/>
      <c r="JVM107" s="74"/>
      <c r="JVO107" s="75"/>
      <c r="JVR107" s="75"/>
      <c r="JVS107" s="72"/>
      <c r="JVT107" s="68"/>
      <c r="JVU107" s="1"/>
      <c r="JVV107" s="73"/>
      <c r="JVW107" s="74"/>
      <c r="JVY107" s="75"/>
      <c r="JWB107" s="75"/>
      <c r="JWC107" s="72"/>
      <c r="JWD107" s="68"/>
      <c r="JWE107" s="1"/>
      <c r="JWF107" s="73"/>
      <c r="JWG107" s="74"/>
      <c r="JWI107" s="75"/>
      <c r="JWL107" s="75"/>
      <c r="JWM107" s="72"/>
      <c r="JWN107" s="68"/>
      <c r="JWO107" s="1"/>
      <c r="JWP107" s="73"/>
      <c r="JWQ107" s="74"/>
      <c r="JWS107" s="75"/>
      <c r="JWV107" s="75"/>
      <c r="JWW107" s="72"/>
      <c r="JWX107" s="68"/>
      <c r="JWY107" s="1"/>
      <c r="JWZ107" s="73"/>
      <c r="JXA107" s="74"/>
      <c r="JXC107" s="75"/>
      <c r="JXF107" s="75"/>
      <c r="JXG107" s="72"/>
      <c r="JXH107" s="68"/>
      <c r="JXI107" s="1"/>
      <c r="JXJ107" s="73"/>
      <c r="JXK107" s="74"/>
      <c r="JXM107" s="75"/>
      <c r="JXP107" s="75"/>
      <c r="JXQ107" s="72"/>
      <c r="JXR107" s="68"/>
      <c r="JXS107" s="1"/>
      <c r="JXT107" s="73"/>
      <c r="JXU107" s="74"/>
      <c r="JXW107" s="75"/>
      <c r="JXZ107" s="75"/>
      <c r="JYA107" s="72"/>
      <c r="JYB107" s="68"/>
      <c r="JYC107" s="1"/>
      <c r="JYD107" s="73"/>
      <c r="JYE107" s="74"/>
      <c r="JYG107" s="75"/>
      <c r="JYJ107" s="75"/>
      <c r="JYK107" s="72"/>
      <c r="JYL107" s="68"/>
      <c r="JYM107" s="1"/>
      <c r="JYN107" s="73"/>
      <c r="JYO107" s="74"/>
      <c r="JYQ107" s="75"/>
      <c r="JYT107" s="75"/>
      <c r="JYU107" s="72"/>
      <c r="JYV107" s="68"/>
      <c r="JYW107" s="1"/>
      <c r="JYX107" s="73"/>
      <c r="JYY107" s="74"/>
      <c r="JZA107" s="75"/>
      <c r="JZD107" s="75"/>
      <c r="JZE107" s="72"/>
      <c r="JZF107" s="68"/>
      <c r="JZG107" s="1"/>
      <c r="JZH107" s="73"/>
      <c r="JZI107" s="74"/>
      <c r="JZK107" s="75"/>
      <c r="JZN107" s="75"/>
      <c r="JZO107" s="72"/>
      <c r="JZP107" s="68"/>
      <c r="JZQ107" s="1"/>
      <c r="JZR107" s="73"/>
      <c r="JZS107" s="74"/>
      <c r="JZU107" s="75"/>
      <c r="JZX107" s="75"/>
      <c r="JZY107" s="72"/>
      <c r="JZZ107" s="68"/>
      <c r="KAA107" s="1"/>
      <c r="KAB107" s="73"/>
      <c r="KAC107" s="74"/>
      <c r="KAE107" s="75"/>
      <c r="KAH107" s="75"/>
      <c r="KAI107" s="72"/>
      <c r="KAJ107" s="68"/>
      <c r="KAK107" s="1"/>
      <c r="KAL107" s="73"/>
      <c r="KAM107" s="74"/>
      <c r="KAO107" s="75"/>
      <c r="KAR107" s="75"/>
      <c r="KAS107" s="72"/>
      <c r="KAT107" s="68"/>
      <c r="KAU107" s="1"/>
      <c r="KAV107" s="73"/>
      <c r="KAW107" s="74"/>
      <c r="KAY107" s="75"/>
      <c r="KBB107" s="75"/>
      <c r="KBC107" s="72"/>
      <c r="KBD107" s="68"/>
      <c r="KBE107" s="1"/>
      <c r="KBF107" s="73"/>
      <c r="KBG107" s="74"/>
      <c r="KBI107" s="75"/>
      <c r="KBL107" s="75"/>
      <c r="KBM107" s="72"/>
      <c r="KBN107" s="68"/>
      <c r="KBO107" s="1"/>
      <c r="KBP107" s="73"/>
      <c r="KBQ107" s="74"/>
      <c r="KBS107" s="75"/>
      <c r="KBV107" s="75"/>
      <c r="KBW107" s="72"/>
      <c r="KBX107" s="68"/>
      <c r="KBY107" s="1"/>
      <c r="KBZ107" s="73"/>
      <c r="KCA107" s="74"/>
      <c r="KCC107" s="75"/>
      <c r="KCF107" s="75"/>
      <c r="KCG107" s="72"/>
      <c r="KCH107" s="68"/>
      <c r="KCI107" s="1"/>
      <c r="KCJ107" s="73"/>
      <c r="KCK107" s="74"/>
      <c r="KCM107" s="75"/>
      <c r="KCP107" s="75"/>
      <c r="KCQ107" s="72"/>
      <c r="KCR107" s="68"/>
      <c r="KCS107" s="1"/>
      <c r="KCT107" s="73"/>
      <c r="KCU107" s="74"/>
      <c r="KCW107" s="75"/>
      <c r="KCZ107" s="75"/>
      <c r="KDA107" s="72"/>
      <c r="KDB107" s="68"/>
      <c r="KDC107" s="1"/>
      <c r="KDD107" s="73"/>
      <c r="KDE107" s="74"/>
      <c r="KDG107" s="75"/>
      <c r="KDJ107" s="75"/>
      <c r="KDK107" s="72"/>
      <c r="KDL107" s="68"/>
      <c r="KDM107" s="1"/>
      <c r="KDN107" s="73"/>
      <c r="KDO107" s="74"/>
      <c r="KDQ107" s="75"/>
      <c r="KDT107" s="75"/>
      <c r="KDU107" s="72"/>
      <c r="KDV107" s="68"/>
      <c r="KDW107" s="1"/>
      <c r="KDX107" s="73"/>
      <c r="KDY107" s="74"/>
      <c r="KEA107" s="75"/>
      <c r="KED107" s="75"/>
      <c r="KEE107" s="72"/>
      <c r="KEF107" s="68"/>
      <c r="KEG107" s="1"/>
      <c r="KEH107" s="73"/>
      <c r="KEI107" s="74"/>
      <c r="KEK107" s="75"/>
      <c r="KEN107" s="75"/>
      <c r="KEO107" s="72"/>
      <c r="KEP107" s="68"/>
      <c r="KEQ107" s="1"/>
      <c r="KER107" s="73"/>
      <c r="KES107" s="74"/>
      <c r="KEU107" s="75"/>
      <c r="KEX107" s="75"/>
      <c r="KEY107" s="72"/>
      <c r="KEZ107" s="68"/>
      <c r="KFA107" s="1"/>
      <c r="KFB107" s="73"/>
      <c r="KFC107" s="74"/>
      <c r="KFE107" s="75"/>
      <c r="KFH107" s="75"/>
      <c r="KFI107" s="72"/>
      <c r="KFJ107" s="68"/>
      <c r="KFK107" s="1"/>
      <c r="KFL107" s="73"/>
      <c r="KFM107" s="74"/>
      <c r="KFO107" s="75"/>
      <c r="KFR107" s="75"/>
      <c r="KFS107" s="72"/>
      <c r="KFT107" s="68"/>
      <c r="KFU107" s="1"/>
      <c r="KFV107" s="73"/>
      <c r="KFW107" s="74"/>
      <c r="KFY107" s="75"/>
      <c r="KGB107" s="75"/>
      <c r="KGC107" s="72"/>
      <c r="KGD107" s="68"/>
      <c r="KGE107" s="1"/>
      <c r="KGF107" s="73"/>
      <c r="KGG107" s="74"/>
      <c r="KGI107" s="75"/>
      <c r="KGL107" s="75"/>
      <c r="KGM107" s="72"/>
      <c r="KGN107" s="68"/>
      <c r="KGO107" s="1"/>
      <c r="KGP107" s="73"/>
      <c r="KGQ107" s="74"/>
      <c r="KGS107" s="75"/>
      <c r="KGV107" s="75"/>
      <c r="KGW107" s="72"/>
      <c r="KGX107" s="68"/>
      <c r="KGY107" s="1"/>
      <c r="KGZ107" s="73"/>
      <c r="KHA107" s="74"/>
      <c r="KHC107" s="75"/>
      <c r="KHF107" s="75"/>
      <c r="KHG107" s="72"/>
      <c r="KHH107" s="68"/>
      <c r="KHI107" s="1"/>
      <c r="KHJ107" s="73"/>
      <c r="KHK107" s="74"/>
      <c r="KHM107" s="75"/>
      <c r="KHP107" s="75"/>
      <c r="KHQ107" s="72"/>
      <c r="KHR107" s="68"/>
      <c r="KHS107" s="1"/>
      <c r="KHT107" s="73"/>
      <c r="KHU107" s="74"/>
      <c r="KHW107" s="75"/>
      <c r="KHZ107" s="75"/>
      <c r="KIA107" s="72"/>
      <c r="KIB107" s="68"/>
      <c r="KIC107" s="1"/>
      <c r="KID107" s="73"/>
      <c r="KIE107" s="74"/>
      <c r="KIG107" s="75"/>
      <c r="KIJ107" s="75"/>
      <c r="KIK107" s="72"/>
      <c r="KIL107" s="68"/>
      <c r="KIM107" s="1"/>
      <c r="KIN107" s="73"/>
      <c r="KIO107" s="74"/>
      <c r="KIQ107" s="75"/>
      <c r="KIT107" s="75"/>
      <c r="KIU107" s="72"/>
      <c r="KIV107" s="68"/>
      <c r="KIW107" s="1"/>
      <c r="KIX107" s="73"/>
      <c r="KIY107" s="74"/>
      <c r="KJA107" s="75"/>
      <c r="KJD107" s="75"/>
      <c r="KJE107" s="72"/>
      <c r="KJF107" s="68"/>
      <c r="KJG107" s="1"/>
      <c r="KJH107" s="73"/>
      <c r="KJI107" s="74"/>
      <c r="KJK107" s="75"/>
      <c r="KJN107" s="75"/>
      <c r="KJO107" s="72"/>
      <c r="KJP107" s="68"/>
      <c r="KJQ107" s="1"/>
      <c r="KJR107" s="73"/>
      <c r="KJS107" s="74"/>
      <c r="KJU107" s="75"/>
      <c r="KJX107" s="75"/>
      <c r="KJY107" s="72"/>
      <c r="KJZ107" s="68"/>
      <c r="KKA107" s="1"/>
      <c r="KKB107" s="73"/>
      <c r="KKC107" s="74"/>
      <c r="KKE107" s="75"/>
      <c r="KKH107" s="75"/>
      <c r="KKI107" s="72"/>
      <c r="KKJ107" s="68"/>
      <c r="KKK107" s="1"/>
      <c r="KKL107" s="73"/>
      <c r="KKM107" s="74"/>
      <c r="KKO107" s="75"/>
      <c r="KKR107" s="75"/>
      <c r="KKS107" s="72"/>
      <c r="KKT107" s="68"/>
      <c r="KKU107" s="1"/>
      <c r="KKV107" s="73"/>
      <c r="KKW107" s="74"/>
      <c r="KKY107" s="75"/>
      <c r="KLB107" s="75"/>
      <c r="KLC107" s="72"/>
      <c r="KLD107" s="68"/>
      <c r="KLE107" s="1"/>
      <c r="KLF107" s="73"/>
      <c r="KLG107" s="74"/>
      <c r="KLI107" s="75"/>
      <c r="KLL107" s="75"/>
      <c r="KLM107" s="72"/>
      <c r="KLN107" s="68"/>
      <c r="KLO107" s="1"/>
      <c r="KLP107" s="73"/>
      <c r="KLQ107" s="74"/>
      <c r="KLS107" s="75"/>
      <c r="KLV107" s="75"/>
      <c r="KLW107" s="72"/>
      <c r="KLX107" s="68"/>
      <c r="KLY107" s="1"/>
      <c r="KLZ107" s="73"/>
      <c r="KMA107" s="74"/>
      <c r="KMC107" s="75"/>
      <c r="KMF107" s="75"/>
      <c r="KMG107" s="72"/>
      <c r="KMH107" s="68"/>
      <c r="KMI107" s="1"/>
      <c r="KMJ107" s="73"/>
      <c r="KMK107" s="74"/>
      <c r="KMM107" s="75"/>
      <c r="KMP107" s="75"/>
      <c r="KMQ107" s="72"/>
      <c r="KMR107" s="68"/>
      <c r="KMS107" s="1"/>
      <c r="KMT107" s="73"/>
      <c r="KMU107" s="74"/>
      <c r="KMW107" s="75"/>
      <c r="KMZ107" s="75"/>
      <c r="KNA107" s="72"/>
      <c r="KNB107" s="68"/>
      <c r="KNC107" s="1"/>
      <c r="KND107" s="73"/>
      <c r="KNE107" s="74"/>
      <c r="KNG107" s="75"/>
      <c r="KNJ107" s="75"/>
      <c r="KNK107" s="72"/>
      <c r="KNL107" s="68"/>
      <c r="KNM107" s="1"/>
      <c r="KNN107" s="73"/>
      <c r="KNO107" s="74"/>
      <c r="KNQ107" s="75"/>
      <c r="KNT107" s="75"/>
      <c r="KNU107" s="72"/>
      <c r="KNV107" s="68"/>
      <c r="KNW107" s="1"/>
      <c r="KNX107" s="73"/>
      <c r="KNY107" s="74"/>
      <c r="KOA107" s="75"/>
      <c r="KOD107" s="75"/>
      <c r="KOE107" s="72"/>
      <c r="KOF107" s="68"/>
      <c r="KOG107" s="1"/>
      <c r="KOH107" s="73"/>
      <c r="KOI107" s="74"/>
      <c r="KOK107" s="75"/>
      <c r="KON107" s="75"/>
      <c r="KOO107" s="72"/>
      <c r="KOP107" s="68"/>
      <c r="KOQ107" s="1"/>
      <c r="KOR107" s="73"/>
      <c r="KOS107" s="74"/>
      <c r="KOU107" s="75"/>
      <c r="KOX107" s="75"/>
      <c r="KOY107" s="72"/>
      <c r="KOZ107" s="68"/>
      <c r="KPA107" s="1"/>
      <c r="KPB107" s="73"/>
      <c r="KPC107" s="74"/>
      <c r="KPE107" s="75"/>
      <c r="KPH107" s="75"/>
      <c r="KPI107" s="72"/>
      <c r="KPJ107" s="68"/>
      <c r="KPK107" s="1"/>
      <c r="KPL107" s="73"/>
      <c r="KPM107" s="74"/>
      <c r="KPO107" s="75"/>
      <c r="KPR107" s="75"/>
      <c r="KPS107" s="72"/>
      <c r="KPT107" s="68"/>
      <c r="KPU107" s="1"/>
      <c r="KPV107" s="73"/>
      <c r="KPW107" s="74"/>
      <c r="KPY107" s="75"/>
      <c r="KQB107" s="75"/>
      <c r="KQC107" s="72"/>
      <c r="KQD107" s="68"/>
      <c r="KQE107" s="1"/>
      <c r="KQF107" s="73"/>
      <c r="KQG107" s="74"/>
      <c r="KQI107" s="75"/>
      <c r="KQL107" s="75"/>
      <c r="KQM107" s="72"/>
      <c r="KQN107" s="68"/>
      <c r="KQO107" s="1"/>
      <c r="KQP107" s="73"/>
      <c r="KQQ107" s="74"/>
      <c r="KQS107" s="75"/>
      <c r="KQV107" s="75"/>
      <c r="KQW107" s="72"/>
      <c r="KQX107" s="68"/>
      <c r="KQY107" s="1"/>
      <c r="KQZ107" s="73"/>
      <c r="KRA107" s="74"/>
      <c r="KRC107" s="75"/>
      <c r="KRF107" s="75"/>
      <c r="KRG107" s="72"/>
      <c r="KRH107" s="68"/>
      <c r="KRI107" s="1"/>
      <c r="KRJ107" s="73"/>
      <c r="KRK107" s="74"/>
      <c r="KRM107" s="75"/>
      <c r="KRP107" s="75"/>
      <c r="KRQ107" s="72"/>
      <c r="KRR107" s="68"/>
      <c r="KRS107" s="1"/>
      <c r="KRT107" s="73"/>
      <c r="KRU107" s="74"/>
      <c r="KRW107" s="75"/>
      <c r="KRZ107" s="75"/>
      <c r="KSA107" s="72"/>
      <c r="KSB107" s="68"/>
      <c r="KSC107" s="1"/>
      <c r="KSD107" s="73"/>
      <c r="KSE107" s="74"/>
      <c r="KSG107" s="75"/>
      <c r="KSJ107" s="75"/>
      <c r="KSK107" s="72"/>
      <c r="KSL107" s="68"/>
      <c r="KSM107" s="1"/>
      <c r="KSN107" s="73"/>
      <c r="KSO107" s="74"/>
      <c r="KSQ107" s="75"/>
      <c r="KST107" s="75"/>
      <c r="KSU107" s="72"/>
      <c r="KSV107" s="68"/>
      <c r="KSW107" s="1"/>
      <c r="KSX107" s="73"/>
      <c r="KSY107" s="74"/>
      <c r="KTA107" s="75"/>
      <c r="KTD107" s="75"/>
      <c r="KTE107" s="72"/>
      <c r="KTF107" s="68"/>
      <c r="KTG107" s="1"/>
      <c r="KTH107" s="73"/>
      <c r="KTI107" s="74"/>
      <c r="KTK107" s="75"/>
      <c r="KTN107" s="75"/>
      <c r="KTO107" s="72"/>
      <c r="KTP107" s="68"/>
      <c r="KTQ107" s="1"/>
      <c r="KTR107" s="73"/>
      <c r="KTS107" s="74"/>
      <c r="KTU107" s="75"/>
      <c r="KTX107" s="75"/>
      <c r="KTY107" s="72"/>
      <c r="KTZ107" s="68"/>
      <c r="KUA107" s="1"/>
      <c r="KUB107" s="73"/>
      <c r="KUC107" s="74"/>
      <c r="KUE107" s="75"/>
      <c r="KUH107" s="75"/>
      <c r="KUI107" s="72"/>
      <c r="KUJ107" s="68"/>
      <c r="KUK107" s="1"/>
      <c r="KUL107" s="73"/>
      <c r="KUM107" s="74"/>
      <c r="KUO107" s="75"/>
      <c r="KUR107" s="75"/>
      <c r="KUS107" s="72"/>
      <c r="KUT107" s="68"/>
      <c r="KUU107" s="1"/>
      <c r="KUV107" s="73"/>
      <c r="KUW107" s="74"/>
      <c r="KUY107" s="75"/>
      <c r="KVB107" s="75"/>
      <c r="KVC107" s="72"/>
      <c r="KVD107" s="68"/>
      <c r="KVE107" s="1"/>
      <c r="KVF107" s="73"/>
      <c r="KVG107" s="74"/>
      <c r="KVI107" s="75"/>
      <c r="KVL107" s="75"/>
      <c r="KVM107" s="72"/>
      <c r="KVN107" s="68"/>
      <c r="KVO107" s="1"/>
      <c r="KVP107" s="73"/>
      <c r="KVQ107" s="74"/>
      <c r="KVS107" s="75"/>
      <c r="KVV107" s="75"/>
      <c r="KVW107" s="72"/>
      <c r="KVX107" s="68"/>
      <c r="KVY107" s="1"/>
      <c r="KVZ107" s="73"/>
      <c r="KWA107" s="74"/>
      <c r="KWC107" s="75"/>
      <c r="KWF107" s="75"/>
      <c r="KWG107" s="72"/>
      <c r="KWH107" s="68"/>
      <c r="KWI107" s="1"/>
      <c r="KWJ107" s="73"/>
      <c r="KWK107" s="74"/>
      <c r="KWM107" s="75"/>
      <c r="KWP107" s="75"/>
      <c r="KWQ107" s="72"/>
      <c r="KWR107" s="68"/>
      <c r="KWS107" s="1"/>
      <c r="KWT107" s="73"/>
      <c r="KWU107" s="74"/>
      <c r="KWW107" s="75"/>
      <c r="KWZ107" s="75"/>
      <c r="KXA107" s="72"/>
      <c r="KXB107" s="68"/>
      <c r="KXC107" s="1"/>
      <c r="KXD107" s="73"/>
      <c r="KXE107" s="74"/>
      <c r="KXG107" s="75"/>
      <c r="KXJ107" s="75"/>
      <c r="KXK107" s="72"/>
      <c r="KXL107" s="68"/>
      <c r="KXM107" s="1"/>
      <c r="KXN107" s="73"/>
      <c r="KXO107" s="74"/>
      <c r="KXQ107" s="75"/>
      <c r="KXT107" s="75"/>
      <c r="KXU107" s="72"/>
      <c r="KXV107" s="68"/>
      <c r="KXW107" s="1"/>
      <c r="KXX107" s="73"/>
      <c r="KXY107" s="74"/>
      <c r="KYA107" s="75"/>
      <c r="KYD107" s="75"/>
      <c r="KYE107" s="72"/>
      <c r="KYF107" s="68"/>
      <c r="KYG107" s="1"/>
      <c r="KYH107" s="73"/>
      <c r="KYI107" s="74"/>
      <c r="KYK107" s="75"/>
      <c r="KYN107" s="75"/>
      <c r="KYO107" s="72"/>
      <c r="KYP107" s="68"/>
      <c r="KYQ107" s="1"/>
      <c r="KYR107" s="73"/>
      <c r="KYS107" s="74"/>
      <c r="KYU107" s="75"/>
      <c r="KYX107" s="75"/>
      <c r="KYY107" s="72"/>
      <c r="KYZ107" s="68"/>
      <c r="KZA107" s="1"/>
      <c r="KZB107" s="73"/>
      <c r="KZC107" s="74"/>
      <c r="KZE107" s="75"/>
      <c r="KZH107" s="75"/>
      <c r="KZI107" s="72"/>
      <c r="KZJ107" s="68"/>
      <c r="KZK107" s="1"/>
      <c r="KZL107" s="73"/>
      <c r="KZM107" s="74"/>
      <c r="KZO107" s="75"/>
      <c r="KZR107" s="75"/>
      <c r="KZS107" s="72"/>
      <c r="KZT107" s="68"/>
      <c r="KZU107" s="1"/>
      <c r="KZV107" s="73"/>
      <c r="KZW107" s="74"/>
      <c r="KZY107" s="75"/>
      <c r="LAB107" s="75"/>
      <c r="LAC107" s="72"/>
      <c r="LAD107" s="68"/>
      <c r="LAE107" s="1"/>
      <c r="LAF107" s="73"/>
      <c r="LAG107" s="74"/>
      <c r="LAI107" s="75"/>
      <c r="LAL107" s="75"/>
      <c r="LAM107" s="72"/>
      <c r="LAN107" s="68"/>
      <c r="LAO107" s="1"/>
      <c r="LAP107" s="73"/>
      <c r="LAQ107" s="74"/>
      <c r="LAS107" s="75"/>
      <c r="LAV107" s="75"/>
      <c r="LAW107" s="72"/>
      <c r="LAX107" s="68"/>
      <c r="LAY107" s="1"/>
      <c r="LAZ107" s="73"/>
      <c r="LBA107" s="74"/>
      <c r="LBC107" s="75"/>
      <c r="LBF107" s="75"/>
      <c r="LBG107" s="72"/>
      <c r="LBH107" s="68"/>
      <c r="LBI107" s="1"/>
      <c r="LBJ107" s="73"/>
      <c r="LBK107" s="74"/>
      <c r="LBM107" s="75"/>
      <c r="LBP107" s="75"/>
      <c r="LBQ107" s="72"/>
      <c r="LBR107" s="68"/>
      <c r="LBS107" s="1"/>
      <c r="LBT107" s="73"/>
      <c r="LBU107" s="74"/>
      <c r="LBW107" s="75"/>
      <c r="LBZ107" s="75"/>
      <c r="LCA107" s="72"/>
      <c r="LCB107" s="68"/>
      <c r="LCC107" s="1"/>
      <c r="LCD107" s="73"/>
      <c r="LCE107" s="74"/>
      <c r="LCG107" s="75"/>
      <c r="LCJ107" s="75"/>
      <c r="LCK107" s="72"/>
      <c r="LCL107" s="68"/>
      <c r="LCM107" s="1"/>
      <c r="LCN107" s="73"/>
      <c r="LCO107" s="74"/>
      <c r="LCQ107" s="75"/>
      <c r="LCT107" s="75"/>
      <c r="LCU107" s="72"/>
      <c r="LCV107" s="68"/>
      <c r="LCW107" s="1"/>
      <c r="LCX107" s="73"/>
      <c r="LCY107" s="74"/>
      <c r="LDA107" s="75"/>
      <c r="LDD107" s="75"/>
      <c r="LDE107" s="72"/>
      <c r="LDF107" s="68"/>
      <c r="LDG107" s="1"/>
      <c r="LDH107" s="73"/>
      <c r="LDI107" s="74"/>
      <c r="LDK107" s="75"/>
      <c r="LDN107" s="75"/>
      <c r="LDO107" s="72"/>
      <c r="LDP107" s="68"/>
      <c r="LDQ107" s="1"/>
      <c r="LDR107" s="73"/>
      <c r="LDS107" s="74"/>
      <c r="LDU107" s="75"/>
      <c r="LDX107" s="75"/>
      <c r="LDY107" s="72"/>
      <c r="LDZ107" s="68"/>
      <c r="LEA107" s="1"/>
      <c r="LEB107" s="73"/>
      <c r="LEC107" s="74"/>
      <c r="LEE107" s="75"/>
      <c r="LEH107" s="75"/>
      <c r="LEI107" s="72"/>
      <c r="LEJ107" s="68"/>
      <c r="LEK107" s="1"/>
      <c r="LEL107" s="73"/>
      <c r="LEM107" s="74"/>
      <c r="LEO107" s="75"/>
      <c r="LER107" s="75"/>
      <c r="LES107" s="72"/>
      <c r="LET107" s="68"/>
      <c r="LEU107" s="1"/>
      <c r="LEV107" s="73"/>
      <c r="LEW107" s="74"/>
      <c r="LEY107" s="75"/>
      <c r="LFB107" s="75"/>
      <c r="LFC107" s="72"/>
      <c r="LFD107" s="68"/>
      <c r="LFE107" s="1"/>
      <c r="LFF107" s="73"/>
      <c r="LFG107" s="74"/>
      <c r="LFI107" s="75"/>
      <c r="LFL107" s="75"/>
      <c r="LFM107" s="72"/>
      <c r="LFN107" s="68"/>
      <c r="LFO107" s="1"/>
      <c r="LFP107" s="73"/>
      <c r="LFQ107" s="74"/>
      <c r="LFS107" s="75"/>
      <c r="LFV107" s="75"/>
      <c r="LFW107" s="72"/>
      <c r="LFX107" s="68"/>
      <c r="LFY107" s="1"/>
      <c r="LFZ107" s="73"/>
      <c r="LGA107" s="74"/>
      <c r="LGC107" s="75"/>
      <c r="LGF107" s="75"/>
      <c r="LGG107" s="72"/>
      <c r="LGH107" s="68"/>
      <c r="LGI107" s="1"/>
      <c r="LGJ107" s="73"/>
      <c r="LGK107" s="74"/>
      <c r="LGM107" s="75"/>
      <c r="LGP107" s="75"/>
      <c r="LGQ107" s="72"/>
      <c r="LGR107" s="68"/>
      <c r="LGS107" s="1"/>
      <c r="LGT107" s="73"/>
      <c r="LGU107" s="74"/>
      <c r="LGW107" s="75"/>
      <c r="LGZ107" s="75"/>
      <c r="LHA107" s="72"/>
      <c r="LHB107" s="68"/>
      <c r="LHC107" s="1"/>
      <c r="LHD107" s="73"/>
      <c r="LHE107" s="74"/>
      <c r="LHG107" s="75"/>
      <c r="LHJ107" s="75"/>
      <c r="LHK107" s="72"/>
      <c r="LHL107" s="68"/>
      <c r="LHM107" s="1"/>
      <c r="LHN107" s="73"/>
      <c r="LHO107" s="74"/>
      <c r="LHQ107" s="75"/>
      <c r="LHT107" s="75"/>
      <c r="LHU107" s="72"/>
      <c r="LHV107" s="68"/>
      <c r="LHW107" s="1"/>
      <c r="LHX107" s="73"/>
      <c r="LHY107" s="74"/>
      <c r="LIA107" s="75"/>
      <c r="LID107" s="75"/>
      <c r="LIE107" s="72"/>
      <c r="LIF107" s="68"/>
      <c r="LIG107" s="1"/>
      <c r="LIH107" s="73"/>
      <c r="LII107" s="74"/>
      <c r="LIK107" s="75"/>
      <c r="LIN107" s="75"/>
      <c r="LIO107" s="72"/>
      <c r="LIP107" s="68"/>
      <c r="LIQ107" s="1"/>
      <c r="LIR107" s="73"/>
      <c r="LIS107" s="74"/>
      <c r="LIU107" s="75"/>
      <c r="LIX107" s="75"/>
      <c r="LIY107" s="72"/>
      <c r="LIZ107" s="68"/>
      <c r="LJA107" s="1"/>
      <c r="LJB107" s="73"/>
      <c r="LJC107" s="74"/>
      <c r="LJE107" s="75"/>
      <c r="LJH107" s="75"/>
      <c r="LJI107" s="72"/>
      <c r="LJJ107" s="68"/>
      <c r="LJK107" s="1"/>
      <c r="LJL107" s="73"/>
      <c r="LJM107" s="74"/>
      <c r="LJO107" s="75"/>
      <c r="LJR107" s="75"/>
      <c r="LJS107" s="72"/>
      <c r="LJT107" s="68"/>
      <c r="LJU107" s="1"/>
      <c r="LJV107" s="73"/>
      <c r="LJW107" s="74"/>
      <c r="LJY107" s="75"/>
      <c r="LKB107" s="75"/>
      <c r="LKC107" s="72"/>
      <c r="LKD107" s="68"/>
      <c r="LKE107" s="1"/>
      <c r="LKF107" s="73"/>
      <c r="LKG107" s="74"/>
      <c r="LKI107" s="75"/>
      <c r="LKL107" s="75"/>
      <c r="LKM107" s="72"/>
      <c r="LKN107" s="68"/>
      <c r="LKO107" s="1"/>
      <c r="LKP107" s="73"/>
      <c r="LKQ107" s="74"/>
      <c r="LKS107" s="75"/>
      <c r="LKV107" s="75"/>
      <c r="LKW107" s="72"/>
      <c r="LKX107" s="68"/>
      <c r="LKY107" s="1"/>
      <c r="LKZ107" s="73"/>
      <c r="LLA107" s="74"/>
      <c r="LLC107" s="75"/>
      <c r="LLF107" s="75"/>
      <c r="LLG107" s="72"/>
      <c r="LLH107" s="68"/>
      <c r="LLI107" s="1"/>
      <c r="LLJ107" s="73"/>
      <c r="LLK107" s="74"/>
      <c r="LLM107" s="75"/>
      <c r="LLP107" s="75"/>
      <c r="LLQ107" s="72"/>
      <c r="LLR107" s="68"/>
      <c r="LLS107" s="1"/>
      <c r="LLT107" s="73"/>
      <c r="LLU107" s="74"/>
      <c r="LLW107" s="75"/>
      <c r="LLZ107" s="75"/>
      <c r="LMA107" s="72"/>
      <c r="LMB107" s="68"/>
      <c r="LMC107" s="1"/>
      <c r="LMD107" s="73"/>
      <c r="LME107" s="74"/>
      <c r="LMG107" s="75"/>
      <c r="LMJ107" s="75"/>
      <c r="LMK107" s="72"/>
      <c r="LML107" s="68"/>
      <c r="LMM107" s="1"/>
      <c r="LMN107" s="73"/>
      <c r="LMO107" s="74"/>
      <c r="LMQ107" s="75"/>
      <c r="LMT107" s="75"/>
      <c r="LMU107" s="72"/>
      <c r="LMV107" s="68"/>
      <c r="LMW107" s="1"/>
      <c r="LMX107" s="73"/>
      <c r="LMY107" s="74"/>
      <c r="LNA107" s="75"/>
      <c r="LND107" s="75"/>
      <c r="LNE107" s="72"/>
      <c r="LNF107" s="68"/>
      <c r="LNG107" s="1"/>
      <c r="LNH107" s="73"/>
      <c r="LNI107" s="74"/>
      <c r="LNK107" s="75"/>
      <c r="LNN107" s="75"/>
      <c r="LNO107" s="72"/>
      <c r="LNP107" s="68"/>
      <c r="LNQ107" s="1"/>
      <c r="LNR107" s="73"/>
      <c r="LNS107" s="74"/>
      <c r="LNU107" s="75"/>
      <c r="LNX107" s="75"/>
      <c r="LNY107" s="72"/>
      <c r="LNZ107" s="68"/>
      <c r="LOA107" s="1"/>
      <c r="LOB107" s="73"/>
      <c r="LOC107" s="74"/>
      <c r="LOE107" s="75"/>
      <c r="LOH107" s="75"/>
      <c r="LOI107" s="72"/>
      <c r="LOJ107" s="68"/>
      <c r="LOK107" s="1"/>
      <c r="LOL107" s="73"/>
      <c r="LOM107" s="74"/>
      <c r="LOO107" s="75"/>
      <c r="LOR107" s="75"/>
      <c r="LOS107" s="72"/>
      <c r="LOT107" s="68"/>
      <c r="LOU107" s="1"/>
      <c r="LOV107" s="73"/>
      <c r="LOW107" s="74"/>
      <c r="LOY107" s="75"/>
      <c r="LPB107" s="75"/>
      <c r="LPC107" s="72"/>
      <c r="LPD107" s="68"/>
      <c r="LPE107" s="1"/>
      <c r="LPF107" s="73"/>
      <c r="LPG107" s="74"/>
      <c r="LPI107" s="75"/>
      <c r="LPL107" s="75"/>
      <c r="LPM107" s="72"/>
      <c r="LPN107" s="68"/>
      <c r="LPO107" s="1"/>
      <c r="LPP107" s="73"/>
      <c r="LPQ107" s="74"/>
      <c r="LPS107" s="75"/>
      <c r="LPV107" s="75"/>
      <c r="LPW107" s="72"/>
      <c r="LPX107" s="68"/>
      <c r="LPY107" s="1"/>
      <c r="LPZ107" s="73"/>
      <c r="LQA107" s="74"/>
      <c r="LQC107" s="75"/>
      <c r="LQF107" s="75"/>
      <c r="LQG107" s="72"/>
      <c r="LQH107" s="68"/>
      <c r="LQI107" s="1"/>
      <c r="LQJ107" s="73"/>
      <c r="LQK107" s="74"/>
      <c r="LQM107" s="75"/>
      <c r="LQP107" s="75"/>
      <c r="LQQ107" s="72"/>
      <c r="LQR107" s="68"/>
      <c r="LQS107" s="1"/>
      <c r="LQT107" s="73"/>
      <c r="LQU107" s="74"/>
      <c r="LQW107" s="75"/>
      <c r="LQZ107" s="75"/>
      <c r="LRA107" s="72"/>
      <c r="LRB107" s="68"/>
      <c r="LRC107" s="1"/>
      <c r="LRD107" s="73"/>
      <c r="LRE107" s="74"/>
      <c r="LRG107" s="75"/>
      <c r="LRJ107" s="75"/>
      <c r="LRK107" s="72"/>
      <c r="LRL107" s="68"/>
      <c r="LRM107" s="1"/>
      <c r="LRN107" s="73"/>
      <c r="LRO107" s="74"/>
      <c r="LRQ107" s="75"/>
      <c r="LRT107" s="75"/>
      <c r="LRU107" s="72"/>
      <c r="LRV107" s="68"/>
      <c r="LRW107" s="1"/>
      <c r="LRX107" s="73"/>
      <c r="LRY107" s="74"/>
      <c r="LSA107" s="75"/>
      <c r="LSD107" s="75"/>
      <c r="LSE107" s="72"/>
      <c r="LSF107" s="68"/>
      <c r="LSG107" s="1"/>
      <c r="LSH107" s="73"/>
      <c r="LSI107" s="74"/>
      <c r="LSK107" s="75"/>
      <c r="LSN107" s="75"/>
      <c r="LSO107" s="72"/>
      <c r="LSP107" s="68"/>
      <c r="LSQ107" s="1"/>
      <c r="LSR107" s="73"/>
      <c r="LSS107" s="74"/>
      <c r="LSU107" s="75"/>
      <c r="LSX107" s="75"/>
      <c r="LSY107" s="72"/>
      <c r="LSZ107" s="68"/>
      <c r="LTA107" s="1"/>
      <c r="LTB107" s="73"/>
      <c r="LTC107" s="74"/>
      <c r="LTE107" s="75"/>
      <c r="LTH107" s="75"/>
      <c r="LTI107" s="72"/>
      <c r="LTJ107" s="68"/>
      <c r="LTK107" s="1"/>
      <c r="LTL107" s="73"/>
      <c r="LTM107" s="74"/>
      <c r="LTO107" s="75"/>
      <c r="LTR107" s="75"/>
      <c r="LTS107" s="72"/>
      <c r="LTT107" s="68"/>
      <c r="LTU107" s="1"/>
      <c r="LTV107" s="73"/>
      <c r="LTW107" s="74"/>
      <c r="LTY107" s="75"/>
      <c r="LUB107" s="75"/>
      <c r="LUC107" s="72"/>
      <c r="LUD107" s="68"/>
      <c r="LUE107" s="1"/>
      <c r="LUF107" s="73"/>
      <c r="LUG107" s="74"/>
      <c r="LUI107" s="75"/>
      <c r="LUL107" s="75"/>
      <c r="LUM107" s="72"/>
      <c r="LUN107" s="68"/>
      <c r="LUO107" s="1"/>
      <c r="LUP107" s="73"/>
      <c r="LUQ107" s="74"/>
      <c r="LUS107" s="75"/>
      <c r="LUV107" s="75"/>
      <c r="LUW107" s="72"/>
      <c r="LUX107" s="68"/>
      <c r="LUY107" s="1"/>
      <c r="LUZ107" s="73"/>
      <c r="LVA107" s="74"/>
      <c r="LVC107" s="75"/>
      <c r="LVF107" s="75"/>
      <c r="LVG107" s="72"/>
      <c r="LVH107" s="68"/>
      <c r="LVI107" s="1"/>
      <c r="LVJ107" s="73"/>
      <c r="LVK107" s="74"/>
      <c r="LVM107" s="75"/>
      <c r="LVP107" s="75"/>
      <c r="LVQ107" s="72"/>
      <c r="LVR107" s="68"/>
      <c r="LVS107" s="1"/>
      <c r="LVT107" s="73"/>
      <c r="LVU107" s="74"/>
      <c r="LVW107" s="75"/>
      <c r="LVZ107" s="75"/>
      <c r="LWA107" s="72"/>
      <c r="LWB107" s="68"/>
      <c r="LWC107" s="1"/>
      <c r="LWD107" s="73"/>
      <c r="LWE107" s="74"/>
      <c r="LWG107" s="75"/>
      <c r="LWJ107" s="75"/>
      <c r="LWK107" s="72"/>
      <c r="LWL107" s="68"/>
      <c r="LWM107" s="1"/>
      <c r="LWN107" s="73"/>
      <c r="LWO107" s="74"/>
      <c r="LWQ107" s="75"/>
      <c r="LWT107" s="75"/>
      <c r="LWU107" s="72"/>
      <c r="LWV107" s="68"/>
      <c r="LWW107" s="1"/>
      <c r="LWX107" s="73"/>
      <c r="LWY107" s="74"/>
      <c r="LXA107" s="75"/>
      <c r="LXD107" s="75"/>
      <c r="LXE107" s="72"/>
      <c r="LXF107" s="68"/>
      <c r="LXG107" s="1"/>
      <c r="LXH107" s="73"/>
      <c r="LXI107" s="74"/>
      <c r="LXK107" s="75"/>
      <c r="LXN107" s="75"/>
      <c r="LXO107" s="72"/>
      <c r="LXP107" s="68"/>
      <c r="LXQ107" s="1"/>
      <c r="LXR107" s="73"/>
      <c r="LXS107" s="74"/>
      <c r="LXU107" s="75"/>
      <c r="LXX107" s="75"/>
      <c r="LXY107" s="72"/>
      <c r="LXZ107" s="68"/>
      <c r="LYA107" s="1"/>
      <c r="LYB107" s="73"/>
      <c r="LYC107" s="74"/>
      <c r="LYE107" s="75"/>
      <c r="LYH107" s="75"/>
      <c r="LYI107" s="72"/>
      <c r="LYJ107" s="68"/>
      <c r="LYK107" s="1"/>
      <c r="LYL107" s="73"/>
      <c r="LYM107" s="74"/>
      <c r="LYO107" s="75"/>
      <c r="LYR107" s="75"/>
      <c r="LYS107" s="72"/>
      <c r="LYT107" s="68"/>
      <c r="LYU107" s="1"/>
      <c r="LYV107" s="73"/>
      <c r="LYW107" s="74"/>
      <c r="LYY107" s="75"/>
      <c r="LZB107" s="75"/>
      <c r="LZC107" s="72"/>
      <c r="LZD107" s="68"/>
      <c r="LZE107" s="1"/>
      <c r="LZF107" s="73"/>
      <c r="LZG107" s="74"/>
      <c r="LZI107" s="75"/>
      <c r="LZL107" s="75"/>
      <c r="LZM107" s="72"/>
      <c r="LZN107" s="68"/>
      <c r="LZO107" s="1"/>
      <c r="LZP107" s="73"/>
      <c r="LZQ107" s="74"/>
      <c r="LZS107" s="75"/>
      <c r="LZV107" s="75"/>
      <c r="LZW107" s="72"/>
      <c r="LZX107" s="68"/>
      <c r="LZY107" s="1"/>
      <c r="LZZ107" s="73"/>
      <c r="MAA107" s="74"/>
      <c r="MAC107" s="75"/>
      <c r="MAF107" s="75"/>
      <c r="MAG107" s="72"/>
      <c r="MAH107" s="68"/>
      <c r="MAI107" s="1"/>
      <c r="MAJ107" s="73"/>
      <c r="MAK107" s="74"/>
      <c r="MAM107" s="75"/>
      <c r="MAP107" s="75"/>
      <c r="MAQ107" s="72"/>
      <c r="MAR107" s="68"/>
      <c r="MAS107" s="1"/>
      <c r="MAT107" s="73"/>
      <c r="MAU107" s="74"/>
      <c r="MAW107" s="75"/>
      <c r="MAZ107" s="75"/>
      <c r="MBA107" s="72"/>
      <c r="MBB107" s="68"/>
      <c r="MBC107" s="1"/>
      <c r="MBD107" s="73"/>
      <c r="MBE107" s="74"/>
      <c r="MBG107" s="75"/>
      <c r="MBJ107" s="75"/>
      <c r="MBK107" s="72"/>
      <c r="MBL107" s="68"/>
      <c r="MBM107" s="1"/>
      <c r="MBN107" s="73"/>
      <c r="MBO107" s="74"/>
      <c r="MBQ107" s="75"/>
      <c r="MBT107" s="75"/>
      <c r="MBU107" s="72"/>
      <c r="MBV107" s="68"/>
      <c r="MBW107" s="1"/>
      <c r="MBX107" s="73"/>
      <c r="MBY107" s="74"/>
      <c r="MCA107" s="75"/>
      <c r="MCD107" s="75"/>
      <c r="MCE107" s="72"/>
      <c r="MCF107" s="68"/>
      <c r="MCG107" s="1"/>
      <c r="MCH107" s="73"/>
      <c r="MCI107" s="74"/>
      <c r="MCK107" s="75"/>
      <c r="MCN107" s="75"/>
      <c r="MCO107" s="72"/>
      <c r="MCP107" s="68"/>
      <c r="MCQ107" s="1"/>
      <c r="MCR107" s="73"/>
      <c r="MCS107" s="74"/>
      <c r="MCU107" s="75"/>
      <c r="MCX107" s="75"/>
      <c r="MCY107" s="72"/>
      <c r="MCZ107" s="68"/>
      <c r="MDA107" s="1"/>
      <c r="MDB107" s="73"/>
      <c r="MDC107" s="74"/>
      <c r="MDE107" s="75"/>
      <c r="MDH107" s="75"/>
      <c r="MDI107" s="72"/>
      <c r="MDJ107" s="68"/>
      <c r="MDK107" s="1"/>
      <c r="MDL107" s="73"/>
      <c r="MDM107" s="74"/>
      <c r="MDO107" s="75"/>
      <c r="MDR107" s="75"/>
      <c r="MDS107" s="72"/>
      <c r="MDT107" s="68"/>
      <c r="MDU107" s="1"/>
      <c r="MDV107" s="73"/>
      <c r="MDW107" s="74"/>
      <c r="MDY107" s="75"/>
      <c r="MEB107" s="75"/>
      <c r="MEC107" s="72"/>
      <c r="MED107" s="68"/>
      <c r="MEE107" s="1"/>
      <c r="MEF107" s="73"/>
      <c r="MEG107" s="74"/>
      <c r="MEI107" s="75"/>
      <c r="MEL107" s="75"/>
      <c r="MEM107" s="72"/>
      <c r="MEN107" s="68"/>
      <c r="MEO107" s="1"/>
      <c r="MEP107" s="73"/>
      <c r="MEQ107" s="74"/>
      <c r="MES107" s="75"/>
      <c r="MEV107" s="75"/>
      <c r="MEW107" s="72"/>
      <c r="MEX107" s="68"/>
      <c r="MEY107" s="1"/>
      <c r="MEZ107" s="73"/>
      <c r="MFA107" s="74"/>
      <c r="MFC107" s="75"/>
      <c r="MFF107" s="75"/>
      <c r="MFG107" s="72"/>
      <c r="MFH107" s="68"/>
      <c r="MFI107" s="1"/>
      <c r="MFJ107" s="73"/>
      <c r="MFK107" s="74"/>
      <c r="MFM107" s="75"/>
      <c r="MFP107" s="75"/>
      <c r="MFQ107" s="72"/>
      <c r="MFR107" s="68"/>
      <c r="MFS107" s="1"/>
      <c r="MFT107" s="73"/>
      <c r="MFU107" s="74"/>
      <c r="MFW107" s="75"/>
      <c r="MFZ107" s="75"/>
      <c r="MGA107" s="72"/>
      <c r="MGB107" s="68"/>
      <c r="MGC107" s="1"/>
      <c r="MGD107" s="73"/>
      <c r="MGE107" s="74"/>
      <c r="MGG107" s="75"/>
      <c r="MGJ107" s="75"/>
      <c r="MGK107" s="72"/>
      <c r="MGL107" s="68"/>
      <c r="MGM107" s="1"/>
      <c r="MGN107" s="73"/>
      <c r="MGO107" s="74"/>
      <c r="MGQ107" s="75"/>
      <c r="MGT107" s="75"/>
      <c r="MGU107" s="72"/>
      <c r="MGV107" s="68"/>
      <c r="MGW107" s="1"/>
      <c r="MGX107" s="73"/>
      <c r="MGY107" s="74"/>
      <c r="MHA107" s="75"/>
      <c r="MHD107" s="75"/>
      <c r="MHE107" s="72"/>
      <c r="MHF107" s="68"/>
      <c r="MHG107" s="1"/>
      <c r="MHH107" s="73"/>
      <c r="MHI107" s="74"/>
      <c r="MHK107" s="75"/>
      <c r="MHN107" s="75"/>
      <c r="MHO107" s="72"/>
      <c r="MHP107" s="68"/>
      <c r="MHQ107" s="1"/>
      <c r="MHR107" s="73"/>
      <c r="MHS107" s="74"/>
      <c r="MHU107" s="75"/>
      <c r="MHX107" s="75"/>
      <c r="MHY107" s="72"/>
      <c r="MHZ107" s="68"/>
      <c r="MIA107" s="1"/>
      <c r="MIB107" s="73"/>
      <c r="MIC107" s="74"/>
      <c r="MIE107" s="75"/>
      <c r="MIH107" s="75"/>
      <c r="MII107" s="72"/>
      <c r="MIJ107" s="68"/>
      <c r="MIK107" s="1"/>
      <c r="MIL107" s="73"/>
      <c r="MIM107" s="74"/>
      <c r="MIO107" s="75"/>
      <c r="MIR107" s="75"/>
      <c r="MIS107" s="72"/>
      <c r="MIT107" s="68"/>
      <c r="MIU107" s="1"/>
      <c r="MIV107" s="73"/>
      <c r="MIW107" s="74"/>
      <c r="MIY107" s="75"/>
      <c r="MJB107" s="75"/>
      <c r="MJC107" s="72"/>
      <c r="MJD107" s="68"/>
      <c r="MJE107" s="1"/>
      <c r="MJF107" s="73"/>
      <c r="MJG107" s="74"/>
      <c r="MJI107" s="75"/>
      <c r="MJL107" s="75"/>
      <c r="MJM107" s="72"/>
      <c r="MJN107" s="68"/>
      <c r="MJO107" s="1"/>
      <c r="MJP107" s="73"/>
      <c r="MJQ107" s="74"/>
      <c r="MJS107" s="75"/>
      <c r="MJV107" s="75"/>
      <c r="MJW107" s="72"/>
      <c r="MJX107" s="68"/>
      <c r="MJY107" s="1"/>
      <c r="MJZ107" s="73"/>
      <c r="MKA107" s="74"/>
      <c r="MKC107" s="75"/>
      <c r="MKF107" s="75"/>
      <c r="MKG107" s="72"/>
      <c r="MKH107" s="68"/>
      <c r="MKI107" s="1"/>
      <c r="MKJ107" s="73"/>
      <c r="MKK107" s="74"/>
      <c r="MKM107" s="75"/>
      <c r="MKP107" s="75"/>
      <c r="MKQ107" s="72"/>
      <c r="MKR107" s="68"/>
      <c r="MKS107" s="1"/>
      <c r="MKT107" s="73"/>
      <c r="MKU107" s="74"/>
      <c r="MKW107" s="75"/>
      <c r="MKZ107" s="75"/>
      <c r="MLA107" s="72"/>
      <c r="MLB107" s="68"/>
      <c r="MLC107" s="1"/>
      <c r="MLD107" s="73"/>
      <c r="MLE107" s="74"/>
      <c r="MLG107" s="75"/>
      <c r="MLJ107" s="75"/>
      <c r="MLK107" s="72"/>
      <c r="MLL107" s="68"/>
      <c r="MLM107" s="1"/>
      <c r="MLN107" s="73"/>
      <c r="MLO107" s="74"/>
      <c r="MLQ107" s="75"/>
      <c r="MLT107" s="75"/>
      <c r="MLU107" s="72"/>
      <c r="MLV107" s="68"/>
      <c r="MLW107" s="1"/>
      <c r="MLX107" s="73"/>
      <c r="MLY107" s="74"/>
      <c r="MMA107" s="75"/>
      <c r="MMD107" s="75"/>
      <c r="MME107" s="72"/>
      <c r="MMF107" s="68"/>
      <c r="MMG107" s="1"/>
      <c r="MMH107" s="73"/>
      <c r="MMI107" s="74"/>
      <c r="MMK107" s="75"/>
      <c r="MMN107" s="75"/>
      <c r="MMO107" s="72"/>
      <c r="MMP107" s="68"/>
      <c r="MMQ107" s="1"/>
      <c r="MMR107" s="73"/>
      <c r="MMS107" s="74"/>
      <c r="MMU107" s="75"/>
      <c r="MMX107" s="75"/>
      <c r="MMY107" s="72"/>
      <c r="MMZ107" s="68"/>
      <c r="MNA107" s="1"/>
      <c r="MNB107" s="73"/>
      <c r="MNC107" s="74"/>
      <c r="MNE107" s="75"/>
      <c r="MNH107" s="75"/>
      <c r="MNI107" s="72"/>
      <c r="MNJ107" s="68"/>
      <c r="MNK107" s="1"/>
      <c r="MNL107" s="73"/>
      <c r="MNM107" s="74"/>
      <c r="MNO107" s="75"/>
      <c r="MNR107" s="75"/>
      <c r="MNS107" s="72"/>
      <c r="MNT107" s="68"/>
      <c r="MNU107" s="1"/>
      <c r="MNV107" s="73"/>
      <c r="MNW107" s="74"/>
      <c r="MNY107" s="75"/>
      <c r="MOB107" s="75"/>
      <c r="MOC107" s="72"/>
      <c r="MOD107" s="68"/>
      <c r="MOE107" s="1"/>
      <c r="MOF107" s="73"/>
      <c r="MOG107" s="74"/>
      <c r="MOI107" s="75"/>
      <c r="MOL107" s="75"/>
      <c r="MOM107" s="72"/>
      <c r="MON107" s="68"/>
      <c r="MOO107" s="1"/>
      <c r="MOP107" s="73"/>
      <c r="MOQ107" s="74"/>
      <c r="MOS107" s="75"/>
      <c r="MOV107" s="75"/>
      <c r="MOW107" s="72"/>
      <c r="MOX107" s="68"/>
      <c r="MOY107" s="1"/>
      <c r="MOZ107" s="73"/>
      <c r="MPA107" s="74"/>
      <c r="MPC107" s="75"/>
      <c r="MPF107" s="75"/>
      <c r="MPG107" s="72"/>
      <c r="MPH107" s="68"/>
      <c r="MPI107" s="1"/>
      <c r="MPJ107" s="73"/>
      <c r="MPK107" s="74"/>
      <c r="MPM107" s="75"/>
      <c r="MPP107" s="75"/>
      <c r="MPQ107" s="72"/>
      <c r="MPR107" s="68"/>
      <c r="MPS107" s="1"/>
      <c r="MPT107" s="73"/>
      <c r="MPU107" s="74"/>
      <c r="MPW107" s="75"/>
      <c r="MPZ107" s="75"/>
      <c r="MQA107" s="72"/>
      <c r="MQB107" s="68"/>
      <c r="MQC107" s="1"/>
      <c r="MQD107" s="73"/>
      <c r="MQE107" s="74"/>
      <c r="MQG107" s="75"/>
      <c r="MQJ107" s="75"/>
      <c r="MQK107" s="72"/>
      <c r="MQL107" s="68"/>
      <c r="MQM107" s="1"/>
      <c r="MQN107" s="73"/>
      <c r="MQO107" s="74"/>
      <c r="MQQ107" s="75"/>
      <c r="MQT107" s="75"/>
      <c r="MQU107" s="72"/>
      <c r="MQV107" s="68"/>
      <c r="MQW107" s="1"/>
      <c r="MQX107" s="73"/>
      <c r="MQY107" s="74"/>
      <c r="MRA107" s="75"/>
      <c r="MRD107" s="75"/>
      <c r="MRE107" s="72"/>
      <c r="MRF107" s="68"/>
      <c r="MRG107" s="1"/>
      <c r="MRH107" s="73"/>
      <c r="MRI107" s="74"/>
      <c r="MRK107" s="75"/>
      <c r="MRN107" s="75"/>
      <c r="MRO107" s="72"/>
      <c r="MRP107" s="68"/>
      <c r="MRQ107" s="1"/>
      <c r="MRR107" s="73"/>
      <c r="MRS107" s="74"/>
      <c r="MRU107" s="75"/>
      <c r="MRX107" s="75"/>
      <c r="MRY107" s="72"/>
      <c r="MRZ107" s="68"/>
      <c r="MSA107" s="1"/>
      <c r="MSB107" s="73"/>
      <c r="MSC107" s="74"/>
      <c r="MSE107" s="75"/>
      <c r="MSH107" s="75"/>
      <c r="MSI107" s="72"/>
      <c r="MSJ107" s="68"/>
      <c r="MSK107" s="1"/>
      <c r="MSL107" s="73"/>
      <c r="MSM107" s="74"/>
      <c r="MSO107" s="75"/>
      <c r="MSR107" s="75"/>
      <c r="MSS107" s="72"/>
      <c r="MST107" s="68"/>
      <c r="MSU107" s="1"/>
      <c r="MSV107" s="73"/>
      <c r="MSW107" s="74"/>
      <c r="MSY107" s="75"/>
      <c r="MTB107" s="75"/>
      <c r="MTC107" s="72"/>
      <c r="MTD107" s="68"/>
      <c r="MTE107" s="1"/>
      <c r="MTF107" s="73"/>
      <c r="MTG107" s="74"/>
      <c r="MTI107" s="75"/>
      <c r="MTL107" s="75"/>
      <c r="MTM107" s="72"/>
      <c r="MTN107" s="68"/>
      <c r="MTO107" s="1"/>
      <c r="MTP107" s="73"/>
      <c r="MTQ107" s="74"/>
      <c r="MTS107" s="75"/>
      <c r="MTV107" s="75"/>
      <c r="MTW107" s="72"/>
      <c r="MTX107" s="68"/>
      <c r="MTY107" s="1"/>
      <c r="MTZ107" s="73"/>
      <c r="MUA107" s="74"/>
      <c r="MUC107" s="75"/>
      <c r="MUF107" s="75"/>
      <c r="MUG107" s="72"/>
      <c r="MUH107" s="68"/>
      <c r="MUI107" s="1"/>
      <c r="MUJ107" s="73"/>
      <c r="MUK107" s="74"/>
      <c r="MUM107" s="75"/>
      <c r="MUP107" s="75"/>
      <c r="MUQ107" s="72"/>
      <c r="MUR107" s="68"/>
      <c r="MUS107" s="1"/>
      <c r="MUT107" s="73"/>
      <c r="MUU107" s="74"/>
      <c r="MUW107" s="75"/>
      <c r="MUZ107" s="75"/>
      <c r="MVA107" s="72"/>
      <c r="MVB107" s="68"/>
      <c r="MVC107" s="1"/>
      <c r="MVD107" s="73"/>
      <c r="MVE107" s="74"/>
      <c r="MVG107" s="75"/>
      <c r="MVJ107" s="75"/>
      <c r="MVK107" s="72"/>
      <c r="MVL107" s="68"/>
      <c r="MVM107" s="1"/>
      <c r="MVN107" s="73"/>
      <c r="MVO107" s="74"/>
      <c r="MVQ107" s="75"/>
      <c r="MVT107" s="75"/>
      <c r="MVU107" s="72"/>
      <c r="MVV107" s="68"/>
      <c r="MVW107" s="1"/>
      <c r="MVX107" s="73"/>
      <c r="MVY107" s="74"/>
      <c r="MWA107" s="75"/>
      <c r="MWD107" s="75"/>
      <c r="MWE107" s="72"/>
      <c r="MWF107" s="68"/>
      <c r="MWG107" s="1"/>
      <c r="MWH107" s="73"/>
      <c r="MWI107" s="74"/>
      <c r="MWK107" s="75"/>
      <c r="MWN107" s="75"/>
      <c r="MWO107" s="72"/>
      <c r="MWP107" s="68"/>
      <c r="MWQ107" s="1"/>
      <c r="MWR107" s="73"/>
      <c r="MWS107" s="74"/>
      <c r="MWU107" s="75"/>
      <c r="MWX107" s="75"/>
      <c r="MWY107" s="72"/>
      <c r="MWZ107" s="68"/>
      <c r="MXA107" s="1"/>
      <c r="MXB107" s="73"/>
      <c r="MXC107" s="74"/>
      <c r="MXE107" s="75"/>
      <c r="MXH107" s="75"/>
      <c r="MXI107" s="72"/>
      <c r="MXJ107" s="68"/>
      <c r="MXK107" s="1"/>
      <c r="MXL107" s="73"/>
      <c r="MXM107" s="74"/>
      <c r="MXO107" s="75"/>
      <c r="MXR107" s="75"/>
      <c r="MXS107" s="72"/>
      <c r="MXT107" s="68"/>
      <c r="MXU107" s="1"/>
      <c r="MXV107" s="73"/>
      <c r="MXW107" s="74"/>
      <c r="MXY107" s="75"/>
      <c r="MYB107" s="75"/>
      <c r="MYC107" s="72"/>
      <c r="MYD107" s="68"/>
      <c r="MYE107" s="1"/>
      <c r="MYF107" s="73"/>
      <c r="MYG107" s="74"/>
      <c r="MYI107" s="75"/>
      <c r="MYL107" s="75"/>
      <c r="MYM107" s="72"/>
      <c r="MYN107" s="68"/>
      <c r="MYO107" s="1"/>
      <c r="MYP107" s="73"/>
      <c r="MYQ107" s="74"/>
      <c r="MYS107" s="75"/>
      <c r="MYV107" s="75"/>
      <c r="MYW107" s="72"/>
      <c r="MYX107" s="68"/>
      <c r="MYY107" s="1"/>
      <c r="MYZ107" s="73"/>
      <c r="MZA107" s="74"/>
      <c r="MZC107" s="75"/>
      <c r="MZF107" s="75"/>
      <c r="MZG107" s="72"/>
      <c r="MZH107" s="68"/>
      <c r="MZI107" s="1"/>
      <c r="MZJ107" s="73"/>
      <c r="MZK107" s="74"/>
      <c r="MZM107" s="75"/>
      <c r="MZP107" s="75"/>
      <c r="MZQ107" s="72"/>
      <c r="MZR107" s="68"/>
      <c r="MZS107" s="1"/>
      <c r="MZT107" s="73"/>
      <c r="MZU107" s="74"/>
      <c r="MZW107" s="75"/>
      <c r="MZZ107" s="75"/>
      <c r="NAA107" s="72"/>
      <c r="NAB107" s="68"/>
      <c r="NAC107" s="1"/>
      <c r="NAD107" s="73"/>
      <c r="NAE107" s="74"/>
      <c r="NAG107" s="75"/>
      <c r="NAJ107" s="75"/>
      <c r="NAK107" s="72"/>
      <c r="NAL107" s="68"/>
      <c r="NAM107" s="1"/>
      <c r="NAN107" s="73"/>
      <c r="NAO107" s="74"/>
      <c r="NAQ107" s="75"/>
      <c r="NAT107" s="75"/>
      <c r="NAU107" s="72"/>
      <c r="NAV107" s="68"/>
      <c r="NAW107" s="1"/>
      <c r="NAX107" s="73"/>
      <c r="NAY107" s="74"/>
      <c r="NBA107" s="75"/>
      <c r="NBD107" s="75"/>
      <c r="NBE107" s="72"/>
      <c r="NBF107" s="68"/>
      <c r="NBG107" s="1"/>
      <c r="NBH107" s="73"/>
      <c r="NBI107" s="74"/>
      <c r="NBK107" s="75"/>
      <c r="NBN107" s="75"/>
      <c r="NBO107" s="72"/>
      <c r="NBP107" s="68"/>
      <c r="NBQ107" s="1"/>
      <c r="NBR107" s="73"/>
      <c r="NBS107" s="74"/>
      <c r="NBU107" s="75"/>
      <c r="NBX107" s="75"/>
      <c r="NBY107" s="72"/>
      <c r="NBZ107" s="68"/>
      <c r="NCA107" s="1"/>
      <c r="NCB107" s="73"/>
      <c r="NCC107" s="74"/>
      <c r="NCE107" s="75"/>
      <c r="NCH107" s="75"/>
      <c r="NCI107" s="72"/>
      <c r="NCJ107" s="68"/>
      <c r="NCK107" s="1"/>
      <c r="NCL107" s="73"/>
      <c r="NCM107" s="74"/>
      <c r="NCO107" s="75"/>
      <c r="NCR107" s="75"/>
      <c r="NCS107" s="72"/>
      <c r="NCT107" s="68"/>
      <c r="NCU107" s="1"/>
      <c r="NCV107" s="73"/>
      <c r="NCW107" s="74"/>
      <c r="NCY107" s="75"/>
      <c r="NDB107" s="75"/>
      <c r="NDC107" s="72"/>
      <c r="NDD107" s="68"/>
      <c r="NDE107" s="1"/>
      <c r="NDF107" s="73"/>
      <c r="NDG107" s="74"/>
      <c r="NDI107" s="75"/>
      <c r="NDL107" s="75"/>
      <c r="NDM107" s="72"/>
      <c r="NDN107" s="68"/>
      <c r="NDO107" s="1"/>
      <c r="NDP107" s="73"/>
      <c r="NDQ107" s="74"/>
      <c r="NDS107" s="75"/>
      <c r="NDV107" s="75"/>
      <c r="NDW107" s="72"/>
      <c r="NDX107" s="68"/>
      <c r="NDY107" s="1"/>
      <c r="NDZ107" s="73"/>
      <c r="NEA107" s="74"/>
      <c r="NEC107" s="75"/>
      <c r="NEF107" s="75"/>
      <c r="NEG107" s="72"/>
      <c r="NEH107" s="68"/>
      <c r="NEI107" s="1"/>
      <c r="NEJ107" s="73"/>
      <c r="NEK107" s="74"/>
      <c r="NEM107" s="75"/>
      <c r="NEP107" s="75"/>
      <c r="NEQ107" s="72"/>
      <c r="NER107" s="68"/>
      <c r="NES107" s="1"/>
      <c r="NET107" s="73"/>
      <c r="NEU107" s="74"/>
      <c r="NEW107" s="75"/>
      <c r="NEZ107" s="75"/>
      <c r="NFA107" s="72"/>
      <c r="NFB107" s="68"/>
      <c r="NFC107" s="1"/>
      <c r="NFD107" s="73"/>
      <c r="NFE107" s="74"/>
      <c r="NFG107" s="75"/>
      <c r="NFJ107" s="75"/>
      <c r="NFK107" s="72"/>
      <c r="NFL107" s="68"/>
      <c r="NFM107" s="1"/>
      <c r="NFN107" s="73"/>
      <c r="NFO107" s="74"/>
      <c r="NFQ107" s="75"/>
      <c r="NFT107" s="75"/>
      <c r="NFU107" s="72"/>
      <c r="NFV107" s="68"/>
      <c r="NFW107" s="1"/>
      <c r="NFX107" s="73"/>
      <c r="NFY107" s="74"/>
      <c r="NGA107" s="75"/>
      <c r="NGD107" s="75"/>
      <c r="NGE107" s="72"/>
      <c r="NGF107" s="68"/>
      <c r="NGG107" s="1"/>
      <c r="NGH107" s="73"/>
      <c r="NGI107" s="74"/>
      <c r="NGK107" s="75"/>
      <c r="NGN107" s="75"/>
      <c r="NGO107" s="72"/>
      <c r="NGP107" s="68"/>
      <c r="NGQ107" s="1"/>
      <c r="NGR107" s="73"/>
      <c r="NGS107" s="74"/>
      <c r="NGU107" s="75"/>
      <c r="NGX107" s="75"/>
      <c r="NGY107" s="72"/>
      <c r="NGZ107" s="68"/>
      <c r="NHA107" s="1"/>
      <c r="NHB107" s="73"/>
      <c r="NHC107" s="74"/>
      <c r="NHE107" s="75"/>
      <c r="NHH107" s="75"/>
      <c r="NHI107" s="72"/>
      <c r="NHJ107" s="68"/>
      <c r="NHK107" s="1"/>
      <c r="NHL107" s="73"/>
      <c r="NHM107" s="74"/>
      <c r="NHO107" s="75"/>
      <c r="NHR107" s="75"/>
      <c r="NHS107" s="72"/>
      <c r="NHT107" s="68"/>
      <c r="NHU107" s="1"/>
      <c r="NHV107" s="73"/>
      <c r="NHW107" s="74"/>
      <c r="NHY107" s="75"/>
      <c r="NIB107" s="75"/>
      <c r="NIC107" s="72"/>
      <c r="NID107" s="68"/>
      <c r="NIE107" s="1"/>
      <c r="NIF107" s="73"/>
      <c r="NIG107" s="74"/>
      <c r="NII107" s="75"/>
      <c r="NIL107" s="75"/>
      <c r="NIM107" s="72"/>
      <c r="NIN107" s="68"/>
      <c r="NIO107" s="1"/>
      <c r="NIP107" s="73"/>
      <c r="NIQ107" s="74"/>
      <c r="NIS107" s="75"/>
      <c r="NIV107" s="75"/>
      <c r="NIW107" s="72"/>
      <c r="NIX107" s="68"/>
      <c r="NIY107" s="1"/>
      <c r="NIZ107" s="73"/>
      <c r="NJA107" s="74"/>
      <c r="NJC107" s="75"/>
      <c r="NJF107" s="75"/>
      <c r="NJG107" s="72"/>
      <c r="NJH107" s="68"/>
      <c r="NJI107" s="1"/>
      <c r="NJJ107" s="73"/>
      <c r="NJK107" s="74"/>
      <c r="NJM107" s="75"/>
      <c r="NJP107" s="75"/>
      <c r="NJQ107" s="72"/>
      <c r="NJR107" s="68"/>
      <c r="NJS107" s="1"/>
      <c r="NJT107" s="73"/>
      <c r="NJU107" s="74"/>
      <c r="NJW107" s="75"/>
      <c r="NJZ107" s="75"/>
      <c r="NKA107" s="72"/>
      <c r="NKB107" s="68"/>
      <c r="NKC107" s="1"/>
      <c r="NKD107" s="73"/>
      <c r="NKE107" s="74"/>
      <c r="NKG107" s="75"/>
      <c r="NKJ107" s="75"/>
      <c r="NKK107" s="72"/>
      <c r="NKL107" s="68"/>
      <c r="NKM107" s="1"/>
      <c r="NKN107" s="73"/>
      <c r="NKO107" s="74"/>
      <c r="NKQ107" s="75"/>
      <c r="NKT107" s="75"/>
      <c r="NKU107" s="72"/>
      <c r="NKV107" s="68"/>
      <c r="NKW107" s="1"/>
      <c r="NKX107" s="73"/>
      <c r="NKY107" s="74"/>
      <c r="NLA107" s="75"/>
      <c r="NLD107" s="75"/>
      <c r="NLE107" s="72"/>
      <c r="NLF107" s="68"/>
      <c r="NLG107" s="1"/>
      <c r="NLH107" s="73"/>
      <c r="NLI107" s="74"/>
      <c r="NLK107" s="75"/>
      <c r="NLN107" s="75"/>
      <c r="NLO107" s="72"/>
      <c r="NLP107" s="68"/>
      <c r="NLQ107" s="1"/>
      <c r="NLR107" s="73"/>
      <c r="NLS107" s="74"/>
      <c r="NLU107" s="75"/>
      <c r="NLX107" s="75"/>
      <c r="NLY107" s="72"/>
      <c r="NLZ107" s="68"/>
      <c r="NMA107" s="1"/>
      <c r="NMB107" s="73"/>
      <c r="NMC107" s="74"/>
      <c r="NME107" s="75"/>
      <c r="NMH107" s="75"/>
      <c r="NMI107" s="72"/>
      <c r="NMJ107" s="68"/>
      <c r="NMK107" s="1"/>
      <c r="NML107" s="73"/>
      <c r="NMM107" s="74"/>
      <c r="NMO107" s="75"/>
      <c r="NMR107" s="75"/>
      <c r="NMS107" s="72"/>
      <c r="NMT107" s="68"/>
      <c r="NMU107" s="1"/>
      <c r="NMV107" s="73"/>
      <c r="NMW107" s="74"/>
      <c r="NMY107" s="75"/>
      <c r="NNB107" s="75"/>
      <c r="NNC107" s="72"/>
      <c r="NND107" s="68"/>
      <c r="NNE107" s="1"/>
      <c r="NNF107" s="73"/>
      <c r="NNG107" s="74"/>
      <c r="NNI107" s="75"/>
      <c r="NNL107" s="75"/>
      <c r="NNM107" s="72"/>
      <c r="NNN107" s="68"/>
      <c r="NNO107" s="1"/>
      <c r="NNP107" s="73"/>
      <c r="NNQ107" s="74"/>
      <c r="NNS107" s="75"/>
      <c r="NNV107" s="75"/>
      <c r="NNW107" s="72"/>
      <c r="NNX107" s="68"/>
      <c r="NNY107" s="1"/>
      <c r="NNZ107" s="73"/>
      <c r="NOA107" s="74"/>
      <c r="NOC107" s="75"/>
      <c r="NOF107" s="75"/>
      <c r="NOG107" s="72"/>
      <c r="NOH107" s="68"/>
      <c r="NOI107" s="1"/>
      <c r="NOJ107" s="73"/>
      <c r="NOK107" s="74"/>
      <c r="NOM107" s="75"/>
      <c r="NOP107" s="75"/>
      <c r="NOQ107" s="72"/>
      <c r="NOR107" s="68"/>
      <c r="NOS107" s="1"/>
      <c r="NOT107" s="73"/>
      <c r="NOU107" s="74"/>
      <c r="NOW107" s="75"/>
      <c r="NOZ107" s="75"/>
      <c r="NPA107" s="72"/>
      <c r="NPB107" s="68"/>
      <c r="NPC107" s="1"/>
      <c r="NPD107" s="73"/>
      <c r="NPE107" s="74"/>
      <c r="NPG107" s="75"/>
      <c r="NPJ107" s="75"/>
      <c r="NPK107" s="72"/>
      <c r="NPL107" s="68"/>
      <c r="NPM107" s="1"/>
      <c r="NPN107" s="73"/>
      <c r="NPO107" s="74"/>
      <c r="NPQ107" s="75"/>
      <c r="NPT107" s="75"/>
      <c r="NPU107" s="72"/>
      <c r="NPV107" s="68"/>
      <c r="NPW107" s="1"/>
      <c r="NPX107" s="73"/>
      <c r="NPY107" s="74"/>
      <c r="NQA107" s="75"/>
      <c r="NQD107" s="75"/>
      <c r="NQE107" s="72"/>
      <c r="NQF107" s="68"/>
      <c r="NQG107" s="1"/>
      <c r="NQH107" s="73"/>
      <c r="NQI107" s="74"/>
      <c r="NQK107" s="75"/>
      <c r="NQN107" s="75"/>
      <c r="NQO107" s="72"/>
      <c r="NQP107" s="68"/>
      <c r="NQQ107" s="1"/>
      <c r="NQR107" s="73"/>
      <c r="NQS107" s="74"/>
      <c r="NQU107" s="75"/>
      <c r="NQX107" s="75"/>
      <c r="NQY107" s="72"/>
      <c r="NQZ107" s="68"/>
      <c r="NRA107" s="1"/>
      <c r="NRB107" s="73"/>
      <c r="NRC107" s="74"/>
      <c r="NRE107" s="75"/>
      <c r="NRH107" s="75"/>
      <c r="NRI107" s="72"/>
      <c r="NRJ107" s="68"/>
      <c r="NRK107" s="1"/>
      <c r="NRL107" s="73"/>
      <c r="NRM107" s="74"/>
      <c r="NRO107" s="75"/>
      <c r="NRR107" s="75"/>
      <c r="NRS107" s="72"/>
      <c r="NRT107" s="68"/>
      <c r="NRU107" s="1"/>
      <c r="NRV107" s="73"/>
      <c r="NRW107" s="74"/>
      <c r="NRY107" s="75"/>
      <c r="NSB107" s="75"/>
      <c r="NSC107" s="72"/>
      <c r="NSD107" s="68"/>
      <c r="NSE107" s="1"/>
      <c r="NSF107" s="73"/>
      <c r="NSG107" s="74"/>
      <c r="NSI107" s="75"/>
      <c r="NSL107" s="75"/>
      <c r="NSM107" s="72"/>
      <c r="NSN107" s="68"/>
      <c r="NSO107" s="1"/>
      <c r="NSP107" s="73"/>
      <c r="NSQ107" s="74"/>
      <c r="NSS107" s="75"/>
      <c r="NSV107" s="75"/>
      <c r="NSW107" s="72"/>
      <c r="NSX107" s="68"/>
      <c r="NSY107" s="1"/>
      <c r="NSZ107" s="73"/>
      <c r="NTA107" s="74"/>
      <c r="NTC107" s="75"/>
      <c r="NTF107" s="75"/>
      <c r="NTG107" s="72"/>
      <c r="NTH107" s="68"/>
      <c r="NTI107" s="1"/>
      <c r="NTJ107" s="73"/>
      <c r="NTK107" s="74"/>
      <c r="NTM107" s="75"/>
      <c r="NTP107" s="75"/>
      <c r="NTQ107" s="72"/>
      <c r="NTR107" s="68"/>
      <c r="NTS107" s="1"/>
      <c r="NTT107" s="73"/>
      <c r="NTU107" s="74"/>
      <c r="NTW107" s="75"/>
      <c r="NTZ107" s="75"/>
      <c r="NUA107" s="72"/>
      <c r="NUB107" s="68"/>
      <c r="NUC107" s="1"/>
      <c r="NUD107" s="73"/>
      <c r="NUE107" s="74"/>
      <c r="NUG107" s="75"/>
      <c r="NUJ107" s="75"/>
      <c r="NUK107" s="72"/>
      <c r="NUL107" s="68"/>
      <c r="NUM107" s="1"/>
      <c r="NUN107" s="73"/>
      <c r="NUO107" s="74"/>
      <c r="NUQ107" s="75"/>
      <c r="NUT107" s="75"/>
      <c r="NUU107" s="72"/>
      <c r="NUV107" s="68"/>
      <c r="NUW107" s="1"/>
      <c r="NUX107" s="73"/>
      <c r="NUY107" s="74"/>
      <c r="NVA107" s="75"/>
      <c r="NVD107" s="75"/>
      <c r="NVE107" s="72"/>
      <c r="NVF107" s="68"/>
      <c r="NVG107" s="1"/>
      <c r="NVH107" s="73"/>
      <c r="NVI107" s="74"/>
      <c r="NVK107" s="75"/>
      <c r="NVN107" s="75"/>
      <c r="NVO107" s="72"/>
      <c r="NVP107" s="68"/>
      <c r="NVQ107" s="1"/>
      <c r="NVR107" s="73"/>
      <c r="NVS107" s="74"/>
      <c r="NVU107" s="75"/>
      <c r="NVX107" s="75"/>
      <c r="NVY107" s="72"/>
      <c r="NVZ107" s="68"/>
      <c r="NWA107" s="1"/>
      <c r="NWB107" s="73"/>
      <c r="NWC107" s="74"/>
      <c r="NWE107" s="75"/>
      <c r="NWH107" s="75"/>
      <c r="NWI107" s="72"/>
      <c r="NWJ107" s="68"/>
      <c r="NWK107" s="1"/>
      <c r="NWL107" s="73"/>
      <c r="NWM107" s="74"/>
      <c r="NWO107" s="75"/>
      <c r="NWR107" s="75"/>
      <c r="NWS107" s="72"/>
      <c r="NWT107" s="68"/>
      <c r="NWU107" s="1"/>
      <c r="NWV107" s="73"/>
      <c r="NWW107" s="74"/>
      <c r="NWY107" s="75"/>
      <c r="NXB107" s="75"/>
      <c r="NXC107" s="72"/>
      <c r="NXD107" s="68"/>
      <c r="NXE107" s="1"/>
      <c r="NXF107" s="73"/>
      <c r="NXG107" s="74"/>
      <c r="NXI107" s="75"/>
      <c r="NXL107" s="75"/>
      <c r="NXM107" s="72"/>
      <c r="NXN107" s="68"/>
      <c r="NXO107" s="1"/>
      <c r="NXP107" s="73"/>
      <c r="NXQ107" s="74"/>
      <c r="NXS107" s="75"/>
      <c r="NXV107" s="75"/>
      <c r="NXW107" s="72"/>
      <c r="NXX107" s="68"/>
      <c r="NXY107" s="1"/>
      <c r="NXZ107" s="73"/>
      <c r="NYA107" s="74"/>
      <c r="NYC107" s="75"/>
      <c r="NYF107" s="75"/>
      <c r="NYG107" s="72"/>
      <c r="NYH107" s="68"/>
      <c r="NYI107" s="1"/>
      <c r="NYJ107" s="73"/>
      <c r="NYK107" s="74"/>
      <c r="NYM107" s="75"/>
      <c r="NYP107" s="75"/>
      <c r="NYQ107" s="72"/>
      <c r="NYR107" s="68"/>
      <c r="NYS107" s="1"/>
      <c r="NYT107" s="73"/>
      <c r="NYU107" s="74"/>
      <c r="NYW107" s="75"/>
      <c r="NYZ107" s="75"/>
      <c r="NZA107" s="72"/>
      <c r="NZB107" s="68"/>
      <c r="NZC107" s="1"/>
      <c r="NZD107" s="73"/>
      <c r="NZE107" s="74"/>
      <c r="NZG107" s="75"/>
      <c r="NZJ107" s="75"/>
      <c r="NZK107" s="72"/>
      <c r="NZL107" s="68"/>
      <c r="NZM107" s="1"/>
      <c r="NZN107" s="73"/>
      <c r="NZO107" s="74"/>
      <c r="NZQ107" s="75"/>
      <c r="NZT107" s="75"/>
      <c r="NZU107" s="72"/>
      <c r="NZV107" s="68"/>
      <c r="NZW107" s="1"/>
      <c r="NZX107" s="73"/>
      <c r="NZY107" s="74"/>
      <c r="OAA107" s="75"/>
      <c r="OAD107" s="75"/>
      <c r="OAE107" s="72"/>
      <c r="OAF107" s="68"/>
      <c r="OAG107" s="1"/>
      <c r="OAH107" s="73"/>
      <c r="OAI107" s="74"/>
      <c r="OAK107" s="75"/>
      <c r="OAN107" s="75"/>
      <c r="OAO107" s="72"/>
      <c r="OAP107" s="68"/>
      <c r="OAQ107" s="1"/>
      <c r="OAR107" s="73"/>
      <c r="OAS107" s="74"/>
      <c r="OAU107" s="75"/>
      <c r="OAX107" s="75"/>
      <c r="OAY107" s="72"/>
      <c r="OAZ107" s="68"/>
      <c r="OBA107" s="1"/>
      <c r="OBB107" s="73"/>
      <c r="OBC107" s="74"/>
      <c r="OBE107" s="75"/>
      <c r="OBH107" s="75"/>
      <c r="OBI107" s="72"/>
      <c r="OBJ107" s="68"/>
      <c r="OBK107" s="1"/>
      <c r="OBL107" s="73"/>
      <c r="OBM107" s="74"/>
      <c r="OBO107" s="75"/>
      <c r="OBR107" s="75"/>
      <c r="OBS107" s="72"/>
      <c r="OBT107" s="68"/>
      <c r="OBU107" s="1"/>
      <c r="OBV107" s="73"/>
      <c r="OBW107" s="74"/>
      <c r="OBY107" s="75"/>
      <c r="OCB107" s="75"/>
      <c r="OCC107" s="72"/>
      <c r="OCD107" s="68"/>
      <c r="OCE107" s="1"/>
      <c r="OCF107" s="73"/>
      <c r="OCG107" s="74"/>
      <c r="OCI107" s="75"/>
      <c r="OCL107" s="75"/>
      <c r="OCM107" s="72"/>
      <c r="OCN107" s="68"/>
      <c r="OCO107" s="1"/>
      <c r="OCP107" s="73"/>
      <c r="OCQ107" s="74"/>
      <c r="OCS107" s="75"/>
      <c r="OCV107" s="75"/>
      <c r="OCW107" s="72"/>
      <c r="OCX107" s="68"/>
      <c r="OCY107" s="1"/>
      <c r="OCZ107" s="73"/>
      <c r="ODA107" s="74"/>
      <c r="ODC107" s="75"/>
      <c r="ODF107" s="75"/>
      <c r="ODG107" s="72"/>
      <c r="ODH107" s="68"/>
      <c r="ODI107" s="1"/>
      <c r="ODJ107" s="73"/>
      <c r="ODK107" s="74"/>
      <c r="ODM107" s="75"/>
      <c r="ODP107" s="75"/>
      <c r="ODQ107" s="72"/>
      <c r="ODR107" s="68"/>
      <c r="ODS107" s="1"/>
      <c r="ODT107" s="73"/>
      <c r="ODU107" s="74"/>
      <c r="ODW107" s="75"/>
      <c r="ODZ107" s="75"/>
      <c r="OEA107" s="72"/>
      <c r="OEB107" s="68"/>
      <c r="OEC107" s="1"/>
      <c r="OED107" s="73"/>
      <c r="OEE107" s="74"/>
      <c r="OEG107" s="75"/>
      <c r="OEJ107" s="75"/>
      <c r="OEK107" s="72"/>
      <c r="OEL107" s="68"/>
      <c r="OEM107" s="1"/>
      <c r="OEN107" s="73"/>
      <c r="OEO107" s="74"/>
      <c r="OEQ107" s="75"/>
      <c r="OET107" s="75"/>
      <c r="OEU107" s="72"/>
      <c r="OEV107" s="68"/>
      <c r="OEW107" s="1"/>
      <c r="OEX107" s="73"/>
      <c r="OEY107" s="74"/>
      <c r="OFA107" s="75"/>
      <c r="OFD107" s="75"/>
      <c r="OFE107" s="72"/>
      <c r="OFF107" s="68"/>
      <c r="OFG107" s="1"/>
      <c r="OFH107" s="73"/>
      <c r="OFI107" s="74"/>
      <c r="OFK107" s="75"/>
      <c r="OFN107" s="75"/>
      <c r="OFO107" s="72"/>
      <c r="OFP107" s="68"/>
      <c r="OFQ107" s="1"/>
      <c r="OFR107" s="73"/>
      <c r="OFS107" s="74"/>
      <c r="OFU107" s="75"/>
      <c r="OFX107" s="75"/>
      <c r="OFY107" s="72"/>
      <c r="OFZ107" s="68"/>
      <c r="OGA107" s="1"/>
      <c r="OGB107" s="73"/>
      <c r="OGC107" s="74"/>
      <c r="OGE107" s="75"/>
      <c r="OGH107" s="75"/>
      <c r="OGI107" s="72"/>
      <c r="OGJ107" s="68"/>
      <c r="OGK107" s="1"/>
      <c r="OGL107" s="73"/>
      <c r="OGM107" s="74"/>
      <c r="OGO107" s="75"/>
      <c r="OGR107" s="75"/>
      <c r="OGS107" s="72"/>
      <c r="OGT107" s="68"/>
      <c r="OGU107" s="1"/>
      <c r="OGV107" s="73"/>
      <c r="OGW107" s="74"/>
      <c r="OGY107" s="75"/>
      <c r="OHB107" s="75"/>
      <c r="OHC107" s="72"/>
      <c r="OHD107" s="68"/>
      <c r="OHE107" s="1"/>
      <c r="OHF107" s="73"/>
      <c r="OHG107" s="74"/>
      <c r="OHI107" s="75"/>
      <c r="OHL107" s="75"/>
      <c r="OHM107" s="72"/>
      <c r="OHN107" s="68"/>
      <c r="OHO107" s="1"/>
      <c r="OHP107" s="73"/>
      <c r="OHQ107" s="74"/>
      <c r="OHS107" s="75"/>
      <c r="OHV107" s="75"/>
      <c r="OHW107" s="72"/>
      <c r="OHX107" s="68"/>
      <c r="OHY107" s="1"/>
      <c r="OHZ107" s="73"/>
      <c r="OIA107" s="74"/>
      <c r="OIC107" s="75"/>
      <c r="OIF107" s="75"/>
      <c r="OIG107" s="72"/>
      <c r="OIH107" s="68"/>
      <c r="OII107" s="1"/>
      <c r="OIJ107" s="73"/>
      <c r="OIK107" s="74"/>
      <c r="OIM107" s="75"/>
      <c r="OIP107" s="75"/>
      <c r="OIQ107" s="72"/>
      <c r="OIR107" s="68"/>
      <c r="OIS107" s="1"/>
      <c r="OIT107" s="73"/>
      <c r="OIU107" s="74"/>
      <c r="OIW107" s="75"/>
      <c r="OIZ107" s="75"/>
      <c r="OJA107" s="72"/>
      <c r="OJB107" s="68"/>
      <c r="OJC107" s="1"/>
      <c r="OJD107" s="73"/>
      <c r="OJE107" s="74"/>
      <c r="OJG107" s="75"/>
      <c r="OJJ107" s="75"/>
      <c r="OJK107" s="72"/>
      <c r="OJL107" s="68"/>
      <c r="OJM107" s="1"/>
      <c r="OJN107" s="73"/>
      <c r="OJO107" s="74"/>
      <c r="OJQ107" s="75"/>
      <c r="OJT107" s="75"/>
      <c r="OJU107" s="72"/>
      <c r="OJV107" s="68"/>
      <c r="OJW107" s="1"/>
      <c r="OJX107" s="73"/>
      <c r="OJY107" s="74"/>
      <c r="OKA107" s="75"/>
      <c r="OKD107" s="75"/>
      <c r="OKE107" s="72"/>
      <c r="OKF107" s="68"/>
      <c r="OKG107" s="1"/>
      <c r="OKH107" s="73"/>
      <c r="OKI107" s="74"/>
      <c r="OKK107" s="75"/>
      <c r="OKN107" s="75"/>
      <c r="OKO107" s="72"/>
      <c r="OKP107" s="68"/>
      <c r="OKQ107" s="1"/>
      <c r="OKR107" s="73"/>
      <c r="OKS107" s="74"/>
      <c r="OKU107" s="75"/>
      <c r="OKX107" s="75"/>
      <c r="OKY107" s="72"/>
      <c r="OKZ107" s="68"/>
      <c r="OLA107" s="1"/>
      <c r="OLB107" s="73"/>
      <c r="OLC107" s="74"/>
      <c r="OLE107" s="75"/>
      <c r="OLH107" s="75"/>
      <c r="OLI107" s="72"/>
      <c r="OLJ107" s="68"/>
      <c r="OLK107" s="1"/>
      <c r="OLL107" s="73"/>
      <c r="OLM107" s="74"/>
      <c r="OLO107" s="75"/>
      <c r="OLR107" s="75"/>
      <c r="OLS107" s="72"/>
      <c r="OLT107" s="68"/>
      <c r="OLU107" s="1"/>
      <c r="OLV107" s="73"/>
      <c r="OLW107" s="74"/>
      <c r="OLY107" s="75"/>
      <c r="OMB107" s="75"/>
      <c r="OMC107" s="72"/>
      <c r="OMD107" s="68"/>
      <c r="OME107" s="1"/>
      <c r="OMF107" s="73"/>
      <c r="OMG107" s="74"/>
      <c r="OMI107" s="75"/>
      <c r="OML107" s="75"/>
      <c r="OMM107" s="72"/>
      <c r="OMN107" s="68"/>
      <c r="OMO107" s="1"/>
      <c r="OMP107" s="73"/>
      <c r="OMQ107" s="74"/>
      <c r="OMS107" s="75"/>
      <c r="OMV107" s="75"/>
      <c r="OMW107" s="72"/>
      <c r="OMX107" s="68"/>
      <c r="OMY107" s="1"/>
      <c r="OMZ107" s="73"/>
      <c r="ONA107" s="74"/>
      <c r="ONC107" s="75"/>
      <c r="ONF107" s="75"/>
      <c r="ONG107" s="72"/>
      <c r="ONH107" s="68"/>
      <c r="ONI107" s="1"/>
      <c r="ONJ107" s="73"/>
      <c r="ONK107" s="74"/>
      <c r="ONM107" s="75"/>
      <c r="ONP107" s="75"/>
      <c r="ONQ107" s="72"/>
      <c r="ONR107" s="68"/>
      <c r="ONS107" s="1"/>
      <c r="ONT107" s="73"/>
      <c r="ONU107" s="74"/>
      <c r="ONW107" s="75"/>
      <c r="ONZ107" s="75"/>
      <c r="OOA107" s="72"/>
      <c r="OOB107" s="68"/>
      <c r="OOC107" s="1"/>
      <c r="OOD107" s="73"/>
      <c r="OOE107" s="74"/>
      <c r="OOG107" s="75"/>
      <c r="OOJ107" s="75"/>
      <c r="OOK107" s="72"/>
      <c r="OOL107" s="68"/>
      <c r="OOM107" s="1"/>
      <c r="OON107" s="73"/>
      <c r="OOO107" s="74"/>
      <c r="OOQ107" s="75"/>
      <c r="OOT107" s="75"/>
      <c r="OOU107" s="72"/>
      <c r="OOV107" s="68"/>
      <c r="OOW107" s="1"/>
      <c r="OOX107" s="73"/>
      <c r="OOY107" s="74"/>
      <c r="OPA107" s="75"/>
      <c r="OPD107" s="75"/>
      <c r="OPE107" s="72"/>
      <c r="OPF107" s="68"/>
      <c r="OPG107" s="1"/>
      <c r="OPH107" s="73"/>
      <c r="OPI107" s="74"/>
      <c r="OPK107" s="75"/>
      <c r="OPN107" s="75"/>
      <c r="OPO107" s="72"/>
      <c r="OPP107" s="68"/>
      <c r="OPQ107" s="1"/>
      <c r="OPR107" s="73"/>
      <c r="OPS107" s="74"/>
      <c r="OPU107" s="75"/>
      <c r="OPX107" s="75"/>
      <c r="OPY107" s="72"/>
      <c r="OPZ107" s="68"/>
      <c r="OQA107" s="1"/>
      <c r="OQB107" s="73"/>
      <c r="OQC107" s="74"/>
      <c r="OQE107" s="75"/>
      <c r="OQH107" s="75"/>
      <c r="OQI107" s="72"/>
      <c r="OQJ107" s="68"/>
      <c r="OQK107" s="1"/>
      <c r="OQL107" s="73"/>
      <c r="OQM107" s="74"/>
      <c r="OQO107" s="75"/>
      <c r="OQR107" s="75"/>
      <c r="OQS107" s="72"/>
      <c r="OQT107" s="68"/>
      <c r="OQU107" s="1"/>
      <c r="OQV107" s="73"/>
      <c r="OQW107" s="74"/>
      <c r="OQY107" s="75"/>
      <c r="ORB107" s="75"/>
      <c r="ORC107" s="72"/>
      <c r="ORD107" s="68"/>
      <c r="ORE107" s="1"/>
      <c r="ORF107" s="73"/>
      <c r="ORG107" s="74"/>
      <c r="ORI107" s="75"/>
      <c r="ORL107" s="75"/>
      <c r="ORM107" s="72"/>
      <c r="ORN107" s="68"/>
      <c r="ORO107" s="1"/>
      <c r="ORP107" s="73"/>
      <c r="ORQ107" s="74"/>
      <c r="ORS107" s="75"/>
      <c r="ORV107" s="75"/>
      <c r="ORW107" s="72"/>
      <c r="ORX107" s="68"/>
      <c r="ORY107" s="1"/>
      <c r="ORZ107" s="73"/>
      <c r="OSA107" s="74"/>
      <c r="OSC107" s="75"/>
      <c r="OSF107" s="75"/>
      <c r="OSG107" s="72"/>
      <c r="OSH107" s="68"/>
      <c r="OSI107" s="1"/>
      <c r="OSJ107" s="73"/>
      <c r="OSK107" s="74"/>
      <c r="OSM107" s="75"/>
      <c r="OSP107" s="75"/>
      <c r="OSQ107" s="72"/>
      <c r="OSR107" s="68"/>
      <c r="OSS107" s="1"/>
      <c r="OST107" s="73"/>
      <c r="OSU107" s="74"/>
      <c r="OSW107" s="75"/>
      <c r="OSZ107" s="75"/>
      <c r="OTA107" s="72"/>
      <c r="OTB107" s="68"/>
      <c r="OTC107" s="1"/>
      <c r="OTD107" s="73"/>
      <c r="OTE107" s="74"/>
      <c r="OTG107" s="75"/>
      <c r="OTJ107" s="75"/>
      <c r="OTK107" s="72"/>
      <c r="OTL107" s="68"/>
      <c r="OTM107" s="1"/>
      <c r="OTN107" s="73"/>
      <c r="OTO107" s="74"/>
      <c r="OTQ107" s="75"/>
      <c r="OTT107" s="75"/>
      <c r="OTU107" s="72"/>
      <c r="OTV107" s="68"/>
      <c r="OTW107" s="1"/>
      <c r="OTX107" s="73"/>
      <c r="OTY107" s="74"/>
      <c r="OUA107" s="75"/>
      <c r="OUD107" s="75"/>
      <c r="OUE107" s="72"/>
      <c r="OUF107" s="68"/>
      <c r="OUG107" s="1"/>
      <c r="OUH107" s="73"/>
      <c r="OUI107" s="74"/>
      <c r="OUK107" s="75"/>
      <c r="OUN107" s="75"/>
      <c r="OUO107" s="72"/>
      <c r="OUP107" s="68"/>
      <c r="OUQ107" s="1"/>
      <c r="OUR107" s="73"/>
      <c r="OUS107" s="74"/>
      <c r="OUU107" s="75"/>
      <c r="OUX107" s="75"/>
      <c r="OUY107" s="72"/>
      <c r="OUZ107" s="68"/>
      <c r="OVA107" s="1"/>
      <c r="OVB107" s="73"/>
      <c r="OVC107" s="74"/>
      <c r="OVE107" s="75"/>
      <c r="OVH107" s="75"/>
      <c r="OVI107" s="72"/>
      <c r="OVJ107" s="68"/>
      <c r="OVK107" s="1"/>
      <c r="OVL107" s="73"/>
      <c r="OVM107" s="74"/>
      <c r="OVO107" s="75"/>
      <c r="OVR107" s="75"/>
      <c r="OVS107" s="72"/>
      <c r="OVT107" s="68"/>
      <c r="OVU107" s="1"/>
      <c r="OVV107" s="73"/>
      <c r="OVW107" s="74"/>
      <c r="OVY107" s="75"/>
      <c r="OWB107" s="75"/>
      <c r="OWC107" s="72"/>
      <c r="OWD107" s="68"/>
      <c r="OWE107" s="1"/>
      <c r="OWF107" s="73"/>
      <c r="OWG107" s="74"/>
      <c r="OWI107" s="75"/>
      <c r="OWL107" s="75"/>
      <c r="OWM107" s="72"/>
      <c r="OWN107" s="68"/>
      <c r="OWO107" s="1"/>
      <c r="OWP107" s="73"/>
      <c r="OWQ107" s="74"/>
      <c r="OWS107" s="75"/>
      <c r="OWV107" s="75"/>
      <c r="OWW107" s="72"/>
      <c r="OWX107" s="68"/>
      <c r="OWY107" s="1"/>
      <c r="OWZ107" s="73"/>
      <c r="OXA107" s="74"/>
      <c r="OXC107" s="75"/>
      <c r="OXF107" s="75"/>
      <c r="OXG107" s="72"/>
      <c r="OXH107" s="68"/>
      <c r="OXI107" s="1"/>
      <c r="OXJ107" s="73"/>
      <c r="OXK107" s="74"/>
      <c r="OXM107" s="75"/>
      <c r="OXP107" s="75"/>
      <c r="OXQ107" s="72"/>
      <c r="OXR107" s="68"/>
      <c r="OXS107" s="1"/>
      <c r="OXT107" s="73"/>
      <c r="OXU107" s="74"/>
      <c r="OXW107" s="75"/>
      <c r="OXZ107" s="75"/>
      <c r="OYA107" s="72"/>
      <c r="OYB107" s="68"/>
      <c r="OYC107" s="1"/>
      <c r="OYD107" s="73"/>
      <c r="OYE107" s="74"/>
      <c r="OYG107" s="75"/>
      <c r="OYJ107" s="75"/>
      <c r="OYK107" s="72"/>
      <c r="OYL107" s="68"/>
      <c r="OYM107" s="1"/>
      <c r="OYN107" s="73"/>
      <c r="OYO107" s="74"/>
      <c r="OYQ107" s="75"/>
      <c r="OYT107" s="75"/>
      <c r="OYU107" s="72"/>
      <c r="OYV107" s="68"/>
      <c r="OYW107" s="1"/>
      <c r="OYX107" s="73"/>
      <c r="OYY107" s="74"/>
      <c r="OZA107" s="75"/>
      <c r="OZD107" s="75"/>
      <c r="OZE107" s="72"/>
      <c r="OZF107" s="68"/>
      <c r="OZG107" s="1"/>
      <c r="OZH107" s="73"/>
      <c r="OZI107" s="74"/>
      <c r="OZK107" s="75"/>
      <c r="OZN107" s="75"/>
      <c r="OZO107" s="72"/>
      <c r="OZP107" s="68"/>
      <c r="OZQ107" s="1"/>
      <c r="OZR107" s="73"/>
      <c r="OZS107" s="74"/>
      <c r="OZU107" s="75"/>
      <c r="OZX107" s="75"/>
      <c r="OZY107" s="72"/>
      <c r="OZZ107" s="68"/>
      <c r="PAA107" s="1"/>
      <c r="PAB107" s="73"/>
      <c r="PAC107" s="74"/>
      <c r="PAE107" s="75"/>
      <c r="PAH107" s="75"/>
      <c r="PAI107" s="72"/>
      <c r="PAJ107" s="68"/>
      <c r="PAK107" s="1"/>
      <c r="PAL107" s="73"/>
      <c r="PAM107" s="74"/>
      <c r="PAO107" s="75"/>
      <c r="PAR107" s="75"/>
      <c r="PAS107" s="72"/>
      <c r="PAT107" s="68"/>
      <c r="PAU107" s="1"/>
      <c r="PAV107" s="73"/>
      <c r="PAW107" s="74"/>
      <c r="PAY107" s="75"/>
      <c r="PBB107" s="75"/>
      <c r="PBC107" s="72"/>
      <c r="PBD107" s="68"/>
      <c r="PBE107" s="1"/>
      <c r="PBF107" s="73"/>
      <c r="PBG107" s="74"/>
      <c r="PBI107" s="75"/>
      <c r="PBL107" s="75"/>
      <c r="PBM107" s="72"/>
      <c r="PBN107" s="68"/>
      <c r="PBO107" s="1"/>
      <c r="PBP107" s="73"/>
      <c r="PBQ107" s="74"/>
      <c r="PBS107" s="75"/>
      <c r="PBV107" s="75"/>
      <c r="PBW107" s="72"/>
      <c r="PBX107" s="68"/>
      <c r="PBY107" s="1"/>
      <c r="PBZ107" s="73"/>
      <c r="PCA107" s="74"/>
      <c r="PCC107" s="75"/>
      <c r="PCF107" s="75"/>
      <c r="PCG107" s="72"/>
      <c r="PCH107" s="68"/>
      <c r="PCI107" s="1"/>
      <c r="PCJ107" s="73"/>
      <c r="PCK107" s="74"/>
      <c r="PCM107" s="75"/>
      <c r="PCP107" s="75"/>
      <c r="PCQ107" s="72"/>
      <c r="PCR107" s="68"/>
      <c r="PCS107" s="1"/>
      <c r="PCT107" s="73"/>
      <c r="PCU107" s="74"/>
      <c r="PCW107" s="75"/>
      <c r="PCZ107" s="75"/>
      <c r="PDA107" s="72"/>
      <c r="PDB107" s="68"/>
      <c r="PDC107" s="1"/>
      <c r="PDD107" s="73"/>
      <c r="PDE107" s="74"/>
      <c r="PDG107" s="75"/>
      <c r="PDJ107" s="75"/>
      <c r="PDK107" s="72"/>
      <c r="PDL107" s="68"/>
      <c r="PDM107" s="1"/>
      <c r="PDN107" s="73"/>
      <c r="PDO107" s="74"/>
      <c r="PDQ107" s="75"/>
      <c r="PDT107" s="75"/>
      <c r="PDU107" s="72"/>
      <c r="PDV107" s="68"/>
      <c r="PDW107" s="1"/>
      <c r="PDX107" s="73"/>
      <c r="PDY107" s="74"/>
      <c r="PEA107" s="75"/>
      <c r="PED107" s="75"/>
      <c r="PEE107" s="72"/>
      <c r="PEF107" s="68"/>
      <c r="PEG107" s="1"/>
      <c r="PEH107" s="73"/>
      <c r="PEI107" s="74"/>
      <c r="PEK107" s="75"/>
      <c r="PEN107" s="75"/>
      <c r="PEO107" s="72"/>
      <c r="PEP107" s="68"/>
      <c r="PEQ107" s="1"/>
      <c r="PER107" s="73"/>
      <c r="PES107" s="74"/>
      <c r="PEU107" s="75"/>
      <c r="PEX107" s="75"/>
      <c r="PEY107" s="72"/>
      <c r="PEZ107" s="68"/>
      <c r="PFA107" s="1"/>
      <c r="PFB107" s="73"/>
      <c r="PFC107" s="74"/>
      <c r="PFE107" s="75"/>
      <c r="PFH107" s="75"/>
      <c r="PFI107" s="72"/>
      <c r="PFJ107" s="68"/>
      <c r="PFK107" s="1"/>
      <c r="PFL107" s="73"/>
      <c r="PFM107" s="74"/>
      <c r="PFO107" s="75"/>
      <c r="PFR107" s="75"/>
      <c r="PFS107" s="72"/>
      <c r="PFT107" s="68"/>
      <c r="PFU107" s="1"/>
      <c r="PFV107" s="73"/>
      <c r="PFW107" s="74"/>
      <c r="PFY107" s="75"/>
      <c r="PGB107" s="75"/>
      <c r="PGC107" s="72"/>
      <c r="PGD107" s="68"/>
      <c r="PGE107" s="1"/>
      <c r="PGF107" s="73"/>
      <c r="PGG107" s="74"/>
      <c r="PGI107" s="75"/>
      <c r="PGL107" s="75"/>
      <c r="PGM107" s="72"/>
      <c r="PGN107" s="68"/>
      <c r="PGO107" s="1"/>
      <c r="PGP107" s="73"/>
      <c r="PGQ107" s="74"/>
      <c r="PGS107" s="75"/>
      <c r="PGV107" s="75"/>
      <c r="PGW107" s="72"/>
      <c r="PGX107" s="68"/>
      <c r="PGY107" s="1"/>
      <c r="PGZ107" s="73"/>
      <c r="PHA107" s="74"/>
      <c r="PHC107" s="75"/>
      <c r="PHF107" s="75"/>
      <c r="PHG107" s="72"/>
      <c r="PHH107" s="68"/>
      <c r="PHI107" s="1"/>
      <c r="PHJ107" s="73"/>
      <c r="PHK107" s="74"/>
      <c r="PHM107" s="75"/>
      <c r="PHP107" s="75"/>
      <c r="PHQ107" s="72"/>
      <c r="PHR107" s="68"/>
      <c r="PHS107" s="1"/>
      <c r="PHT107" s="73"/>
      <c r="PHU107" s="74"/>
      <c r="PHW107" s="75"/>
      <c r="PHZ107" s="75"/>
      <c r="PIA107" s="72"/>
      <c r="PIB107" s="68"/>
      <c r="PIC107" s="1"/>
      <c r="PID107" s="73"/>
      <c r="PIE107" s="74"/>
      <c r="PIG107" s="75"/>
      <c r="PIJ107" s="75"/>
      <c r="PIK107" s="72"/>
      <c r="PIL107" s="68"/>
      <c r="PIM107" s="1"/>
      <c r="PIN107" s="73"/>
      <c r="PIO107" s="74"/>
      <c r="PIQ107" s="75"/>
      <c r="PIT107" s="75"/>
      <c r="PIU107" s="72"/>
      <c r="PIV107" s="68"/>
      <c r="PIW107" s="1"/>
      <c r="PIX107" s="73"/>
      <c r="PIY107" s="74"/>
      <c r="PJA107" s="75"/>
      <c r="PJD107" s="75"/>
      <c r="PJE107" s="72"/>
      <c r="PJF107" s="68"/>
      <c r="PJG107" s="1"/>
      <c r="PJH107" s="73"/>
      <c r="PJI107" s="74"/>
      <c r="PJK107" s="75"/>
      <c r="PJN107" s="75"/>
      <c r="PJO107" s="72"/>
      <c r="PJP107" s="68"/>
      <c r="PJQ107" s="1"/>
      <c r="PJR107" s="73"/>
      <c r="PJS107" s="74"/>
      <c r="PJU107" s="75"/>
      <c r="PJX107" s="75"/>
      <c r="PJY107" s="72"/>
      <c r="PJZ107" s="68"/>
      <c r="PKA107" s="1"/>
      <c r="PKB107" s="73"/>
      <c r="PKC107" s="74"/>
      <c r="PKE107" s="75"/>
      <c r="PKH107" s="75"/>
      <c r="PKI107" s="72"/>
      <c r="PKJ107" s="68"/>
      <c r="PKK107" s="1"/>
      <c r="PKL107" s="73"/>
      <c r="PKM107" s="74"/>
      <c r="PKO107" s="75"/>
      <c r="PKR107" s="75"/>
      <c r="PKS107" s="72"/>
      <c r="PKT107" s="68"/>
      <c r="PKU107" s="1"/>
      <c r="PKV107" s="73"/>
      <c r="PKW107" s="74"/>
      <c r="PKY107" s="75"/>
      <c r="PLB107" s="75"/>
      <c r="PLC107" s="72"/>
      <c r="PLD107" s="68"/>
      <c r="PLE107" s="1"/>
      <c r="PLF107" s="73"/>
      <c r="PLG107" s="74"/>
      <c r="PLI107" s="75"/>
      <c r="PLL107" s="75"/>
      <c r="PLM107" s="72"/>
      <c r="PLN107" s="68"/>
      <c r="PLO107" s="1"/>
      <c r="PLP107" s="73"/>
      <c r="PLQ107" s="74"/>
      <c r="PLS107" s="75"/>
      <c r="PLV107" s="75"/>
      <c r="PLW107" s="72"/>
      <c r="PLX107" s="68"/>
      <c r="PLY107" s="1"/>
      <c r="PLZ107" s="73"/>
      <c r="PMA107" s="74"/>
      <c r="PMC107" s="75"/>
      <c r="PMF107" s="75"/>
      <c r="PMG107" s="72"/>
      <c r="PMH107" s="68"/>
      <c r="PMI107" s="1"/>
      <c r="PMJ107" s="73"/>
      <c r="PMK107" s="74"/>
      <c r="PMM107" s="75"/>
      <c r="PMP107" s="75"/>
      <c r="PMQ107" s="72"/>
      <c r="PMR107" s="68"/>
      <c r="PMS107" s="1"/>
      <c r="PMT107" s="73"/>
      <c r="PMU107" s="74"/>
      <c r="PMW107" s="75"/>
      <c r="PMZ107" s="75"/>
      <c r="PNA107" s="72"/>
      <c r="PNB107" s="68"/>
      <c r="PNC107" s="1"/>
      <c r="PND107" s="73"/>
      <c r="PNE107" s="74"/>
      <c r="PNG107" s="75"/>
      <c r="PNJ107" s="75"/>
      <c r="PNK107" s="72"/>
      <c r="PNL107" s="68"/>
      <c r="PNM107" s="1"/>
      <c r="PNN107" s="73"/>
      <c r="PNO107" s="74"/>
      <c r="PNQ107" s="75"/>
      <c r="PNT107" s="75"/>
      <c r="PNU107" s="72"/>
      <c r="PNV107" s="68"/>
      <c r="PNW107" s="1"/>
      <c r="PNX107" s="73"/>
      <c r="PNY107" s="74"/>
      <c r="POA107" s="75"/>
      <c r="POD107" s="75"/>
      <c r="POE107" s="72"/>
      <c r="POF107" s="68"/>
      <c r="POG107" s="1"/>
      <c r="POH107" s="73"/>
      <c r="POI107" s="74"/>
      <c r="POK107" s="75"/>
      <c r="PON107" s="75"/>
      <c r="POO107" s="72"/>
      <c r="POP107" s="68"/>
      <c r="POQ107" s="1"/>
      <c r="POR107" s="73"/>
      <c r="POS107" s="74"/>
      <c r="POU107" s="75"/>
      <c r="POX107" s="75"/>
      <c r="POY107" s="72"/>
      <c r="POZ107" s="68"/>
      <c r="PPA107" s="1"/>
      <c r="PPB107" s="73"/>
      <c r="PPC107" s="74"/>
      <c r="PPE107" s="75"/>
      <c r="PPH107" s="75"/>
      <c r="PPI107" s="72"/>
      <c r="PPJ107" s="68"/>
      <c r="PPK107" s="1"/>
      <c r="PPL107" s="73"/>
      <c r="PPM107" s="74"/>
      <c r="PPO107" s="75"/>
      <c r="PPR107" s="75"/>
      <c r="PPS107" s="72"/>
      <c r="PPT107" s="68"/>
      <c r="PPU107" s="1"/>
      <c r="PPV107" s="73"/>
      <c r="PPW107" s="74"/>
      <c r="PPY107" s="75"/>
      <c r="PQB107" s="75"/>
      <c r="PQC107" s="72"/>
      <c r="PQD107" s="68"/>
      <c r="PQE107" s="1"/>
      <c r="PQF107" s="73"/>
      <c r="PQG107" s="74"/>
      <c r="PQI107" s="75"/>
      <c r="PQL107" s="75"/>
      <c r="PQM107" s="72"/>
      <c r="PQN107" s="68"/>
      <c r="PQO107" s="1"/>
      <c r="PQP107" s="73"/>
      <c r="PQQ107" s="74"/>
      <c r="PQS107" s="75"/>
      <c r="PQV107" s="75"/>
      <c r="PQW107" s="72"/>
      <c r="PQX107" s="68"/>
      <c r="PQY107" s="1"/>
      <c r="PQZ107" s="73"/>
      <c r="PRA107" s="74"/>
      <c r="PRC107" s="75"/>
      <c r="PRF107" s="75"/>
      <c r="PRG107" s="72"/>
      <c r="PRH107" s="68"/>
      <c r="PRI107" s="1"/>
      <c r="PRJ107" s="73"/>
      <c r="PRK107" s="74"/>
      <c r="PRM107" s="75"/>
      <c r="PRP107" s="75"/>
      <c r="PRQ107" s="72"/>
      <c r="PRR107" s="68"/>
      <c r="PRS107" s="1"/>
      <c r="PRT107" s="73"/>
      <c r="PRU107" s="74"/>
      <c r="PRW107" s="75"/>
      <c r="PRZ107" s="75"/>
      <c r="PSA107" s="72"/>
      <c r="PSB107" s="68"/>
      <c r="PSC107" s="1"/>
      <c r="PSD107" s="73"/>
      <c r="PSE107" s="74"/>
      <c r="PSG107" s="75"/>
      <c r="PSJ107" s="75"/>
      <c r="PSK107" s="72"/>
      <c r="PSL107" s="68"/>
      <c r="PSM107" s="1"/>
      <c r="PSN107" s="73"/>
      <c r="PSO107" s="74"/>
      <c r="PSQ107" s="75"/>
      <c r="PST107" s="75"/>
      <c r="PSU107" s="72"/>
      <c r="PSV107" s="68"/>
      <c r="PSW107" s="1"/>
      <c r="PSX107" s="73"/>
      <c r="PSY107" s="74"/>
      <c r="PTA107" s="75"/>
      <c r="PTD107" s="75"/>
      <c r="PTE107" s="72"/>
      <c r="PTF107" s="68"/>
      <c r="PTG107" s="1"/>
      <c r="PTH107" s="73"/>
      <c r="PTI107" s="74"/>
      <c r="PTK107" s="75"/>
      <c r="PTN107" s="75"/>
      <c r="PTO107" s="72"/>
      <c r="PTP107" s="68"/>
      <c r="PTQ107" s="1"/>
      <c r="PTR107" s="73"/>
      <c r="PTS107" s="74"/>
      <c r="PTU107" s="75"/>
      <c r="PTX107" s="75"/>
      <c r="PTY107" s="72"/>
      <c r="PTZ107" s="68"/>
      <c r="PUA107" s="1"/>
      <c r="PUB107" s="73"/>
      <c r="PUC107" s="74"/>
      <c r="PUE107" s="75"/>
      <c r="PUH107" s="75"/>
      <c r="PUI107" s="72"/>
      <c r="PUJ107" s="68"/>
      <c r="PUK107" s="1"/>
      <c r="PUL107" s="73"/>
      <c r="PUM107" s="74"/>
      <c r="PUO107" s="75"/>
      <c r="PUR107" s="75"/>
      <c r="PUS107" s="72"/>
      <c r="PUT107" s="68"/>
      <c r="PUU107" s="1"/>
      <c r="PUV107" s="73"/>
      <c r="PUW107" s="74"/>
      <c r="PUY107" s="75"/>
      <c r="PVB107" s="75"/>
      <c r="PVC107" s="72"/>
      <c r="PVD107" s="68"/>
      <c r="PVE107" s="1"/>
      <c r="PVF107" s="73"/>
      <c r="PVG107" s="74"/>
      <c r="PVI107" s="75"/>
      <c r="PVL107" s="75"/>
      <c r="PVM107" s="72"/>
      <c r="PVN107" s="68"/>
      <c r="PVO107" s="1"/>
      <c r="PVP107" s="73"/>
      <c r="PVQ107" s="74"/>
      <c r="PVS107" s="75"/>
      <c r="PVV107" s="75"/>
      <c r="PVW107" s="72"/>
      <c r="PVX107" s="68"/>
      <c r="PVY107" s="1"/>
      <c r="PVZ107" s="73"/>
      <c r="PWA107" s="74"/>
      <c r="PWC107" s="75"/>
      <c r="PWF107" s="75"/>
      <c r="PWG107" s="72"/>
      <c r="PWH107" s="68"/>
      <c r="PWI107" s="1"/>
      <c r="PWJ107" s="73"/>
      <c r="PWK107" s="74"/>
      <c r="PWM107" s="75"/>
      <c r="PWP107" s="75"/>
      <c r="PWQ107" s="72"/>
      <c r="PWR107" s="68"/>
      <c r="PWS107" s="1"/>
      <c r="PWT107" s="73"/>
      <c r="PWU107" s="74"/>
      <c r="PWW107" s="75"/>
      <c r="PWZ107" s="75"/>
      <c r="PXA107" s="72"/>
      <c r="PXB107" s="68"/>
      <c r="PXC107" s="1"/>
      <c r="PXD107" s="73"/>
      <c r="PXE107" s="74"/>
      <c r="PXG107" s="75"/>
      <c r="PXJ107" s="75"/>
      <c r="PXK107" s="72"/>
      <c r="PXL107" s="68"/>
      <c r="PXM107" s="1"/>
      <c r="PXN107" s="73"/>
      <c r="PXO107" s="74"/>
      <c r="PXQ107" s="75"/>
      <c r="PXT107" s="75"/>
      <c r="PXU107" s="72"/>
      <c r="PXV107" s="68"/>
      <c r="PXW107" s="1"/>
      <c r="PXX107" s="73"/>
      <c r="PXY107" s="74"/>
      <c r="PYA107" s="75"/>
      <c r="PYD107" s="75"/>
      <c r="PYE107" s="72"/>
      <c r="PYF107" s="68"/>
      <c r="PYG107" s="1"/>
      <c r="PYH107" s="73"/>
      <c r="PYI107" s="74"/>
      <c r="PYK107" s="75"/>
      <c r="PYN107" s="75"/>
      <c r="PYO107" s="72"/>
      <c r="PYP107" s="68"/>
      <c r="PYQ107" s="1"/>
      <c r="PYR107" s="73"/>
      <c r="PYS107" s="74"/>
      <c r="PYU107" s="75"/>
      <c r="PYX107" s="75"/>
      <c r="PYY107" s="72"/>
      <c r="PYZ107" s="68"/>
      <c r="PZA107" s="1"/>
      <c r="PZB107" s="73"/>
      <c r="PZC107" s="74"/>
      <c r="PZE107" s="75"/>
      <c r="PZH107" s="75"/>
      <c r="PZI107" s="72"/>
      <c r="PZJ107" s="68"/>
      <c r="PZK107" s="1"/>
      <c r="PZL107" s="73"/>
      <c r="PZM107" s="74"/>
      <c r="PZO107" s="75"/>
      <c r="PZR107" s="75"/>
      <c r="PZS107" s="72"/>
      <c r="PZT107" s="68"/>
      <c r="PZU107" s="1"/>
      <c r="PZV107" s="73"/>
      <c r="PZW107" s="74"/>
      <c r="PZY107" s="75"/>
      <c r="QAB107" s="75"/>
      <c r="QAC107" s="72"/>
      <c r="QAD107" s="68"/>
      <c r="QAE107" s="1"/>
      <c r="QAF107" s="73"/>
      <c r="QAG107" s="74"/>
      <c r="QAI107" s="75"/>
      <c r="QAL107" s="75"/>
      <c r="QAM107" s="72"/>
      <c r="QAN107" s="68"/>
      <c r="QAO107" s="1"/>
      <c r="QAP107" s="73"/>
      <c r="QAQ107" s="74"/>
      <c r="QAS107" s="75"/>
      <c r="QAV107" s="75"/>
      <c r="QAW107" s="72"/>
      <c r="QAX107" s="68"/>
      <c r="QAY107" s="1"/>
      <c r="QAZ107" s="73"/>
      <c r="QBA107" s="74"/>
      <c r="QBC107" s="75"/>
      <c r="QBF107" s="75"/>
      <c r="QBG107" s="72"/>
      <c r="QBH107" s="68"/>
      <c r="QBI107" s="1"/>
      <c r="QBJ107" s="73"/>
      <c r="QBK107" s="74"/>
      <c r="QBM107" s="75"/>
      <c r="QBP107" s="75"/>
      <c r="QBQ107" s="72"/>
      <c r="QBR107" s="68"/>
      <c r="QBS107" s="1"/>
      <c r="QBT107" s="73"/>
      <c r="QBU107" s="74"/>
      <c r="QBW107" s="75"/>
      <c r="QBZ107" s="75"/>
      <c r="QCA107" s="72"/>
      <c r="QCB107" s="68"/>
      <c r="QCC107" s="1"/>
      <c r="QCD107" s="73"/>
      <c r="QCE107" s="74"/>
      <c r="QCG107" s="75"/>
      <c r="QCJ107" s="75"/>
      <c r="QCK107" s="72"/>
      <c r="QCL107" s="68"/>
      <c r="QCM107" s="1"/>
      <c r="QCN107" s="73"/>
      <c r="QCO107" s="74"/>
      <c r="QCQ107" s="75"/>
      <c r="QCT107" s="75"/>
      <c r="QCU107" s="72"/>
      <c r="QCV107" s="68"/>
      <c r="QCW107" s="1"/>
      <c r="QCX107" s="73"/>
      <c r="QCY107" s="74"/>
      <c r="QDA107" s="75"/>
      <c r="QDD107" s="75"/>
      <c r="QDE107" s="72"/>
      <c r="QDF107" s="68"/>
      <c r="QDG107" s="1"/>
      <c r="QDH107" s="73"/>
      <c r="QDI107" s="74"/>
      <c r="QDK107" s="75"/>
      <c r="QDN107" s="75"/>
      <c r="QDO107" s="72"/>
      <c r="QDP107" s="68"/>
      <c r="QDQ107" s="1"/>
      <c r="QDR107" s="73"/>
      <c r="QDS107" s="74"/>
      <c r="QDU107" s="75"/>
      <c r="QDX107" s="75"/>
      <c r="QDY107" s="72"/>
      <c r="QDZ107" s="68"/>
      <c r="QEA107" s="1"/>
      <c r="QEB107" s="73"/>
      <c r="QEC107" s="74"/>
      <c r="QEE107" s="75"/>
      <c r="QEH107" s="75"/>
      <c r="QEI107" s="72"/>
      <c r="QEJ107" s="68"/>
      <c r="QEK107" s="1"/>
      <c r="QEL107" s="73"/>
      <c r="QEM107" s="74"/>
      <c r="QEO107" s="75"/>
      <c r="QER107" s="75"/>
      <c r="QES107" s="72"/>
      <c r="QET107" s="68"/>
      <c r="QEU107" s="1"/>
      <c r="QEV107" s="73"/>
      <c r="QEW107" s="74"/>
      <c r="QEY107" s="75"/>
      <c r="QFB107" s="75"/>
      <c r="QFC107" s="72"/>
      <c r="QFD107" s="68"/>
      <c r="QFE107" s="1"/>
      <c r="QFF107" s="73"/>
      <c r="QFG107" s="74"/>
      <c r="QFI107" s="75"/>
      <c r="QFL107" s="75"/>
      <c r="QFM107" s="72"/>
      <c r="QFN107" s="68"/>
      <c r="QFO107" s="1"/>
      <c r="QFP107" s="73"/>
      <c r="QFQ107" s="74"/>
      <c r="QFS107" s="75"/>
      <c r="QFV107" s="75"/>
      <c r="QFW107" s="72"/>
      <c r="QFX107" s="68"/>
      <c r="QFY107" s="1"/>
      <c r="QFZ107" s="73"/>
      <c r="QGA107" s="74"/>
      <c r="QGC107" s="75"/>
      <c r="QGF107" s="75"/>
      <c r="QGG107" s="72"/>
      <c r="QGH107" s="68"/>
      <c r="QGI107" s="1"/>
      <c r="QGJ107" s="73"/>
      <c r="QGK107" s="74"/>
      <c r="QGM107" s="75"/>
      <c r="QGP107" s="75"/>
      <c r="QGQ107" s="72"/>
      <c r="QGR107" s="68"/>
      <c r="QGS107" s="1"/>
      <c r="QGT107" s="73"/>
      <c r="QGU107" s="74"/>
      <c r="QGW107" s="75"/>
      <c r="QGZ107" s="75"/>
      <c r="QHA107" s="72"/>
      <c r="QHB107" s="68"/>
      <c r="QHC107" s="1"/>
      <c r="QHD107" s="73"/>
      <c r="QHE107" s="74"/>
      <c r="QHG107" s="75"/>
      <c r="QHJ107" s="75"/>
      <c r="QHK107" s="72"/>
      <c r="QHL107" s="68"/>
      <c r="QHM107" s="1"/>
      <c r="QHN107" s="73"/>
      <c r="QHO107" s="74"/>
      <c r="QHQ107" s="75"/>
      <c r="QHT107" s="75"/>
      <c r="QHU107" s="72"/>
      <c r="QHV107" s="68"/>
      <c r="QHW107" s="1"/>
      <c r="QHX107" s="73"/>
      <c r="QHY107" s="74"/>
      <c r="QIA107" s="75"/>
      <c r="QID107" s="75"/>
      <c r="QIE107" s="72"/>
      <c r="QIF107" s="68"/>
      <c r="QIG107" s="1"/>
      <c r="QIH107" s="73"/>
      <c r="QII107" s="74"/>
      <c r="QIK107" s="75"/>
      <c r="QIN107" s="75"/>
      <c r="QIO107" s="72"/>
      <c r="QIP107" s="68"/>
      <c r="QIQ107" s="1"/>
      <c r="QIR107" s="73"/>
      <c r="QIS107" s="74"/>
      <c r="QIU107" s="75"/>
      <c r="QIX107" s="75"/>
      <c r="QIY107" s="72"/>
      <c r="QIZ107" s="68"/>
      <c r="QJA107" s="1"/>
      <c r="QJB107" s="73"/>
      <c r="QJC107" s="74"/>
      <c r="QJE107" s="75"/>
      <c r="QJH107" s="75"/>
      <c r="QJI107" s="72"/>
      <c r="QJJ107" s="68"/>
      <c r="QJK107" s="1"/>
      <c r="QJL107" s="73"/>
      <c r="QJM107" s="74"/>
      <c r="QJO107" s="75"/>
      <c r="QJR107" s="75"/>
      <c r="QJS107" s="72"/>
      <c r="QJT107" s="68"/>
      <c r="QJU107" s="1"/>
      <c r="QJV107" s="73"/>
      <c r="QJW107" s="74"/>
      <c r="QJY107" s="75"/>
      <c r="QKB107" s="75"/>
      <c r="QKC107" s="72"/>
      <c r="QKD107" s="68"/>
      <c r="QKE107" s="1"/>
      <c r="QKF107" s="73"/>
      <c r="QKG107" s="74"/>
      <c r="QKI107" s="75"/>
      <c r="QKL107" s="75"/>
      <c r="QKM107" s="72"/>
      <c r="QKN107" s="68"/>
      <c r="QKO107" s="1"/>
      <c r="QKP107" s="73"/>
      <c r="QKQ107" s="74"/>
      <c r="QKS107" s="75"/>
      <c r="QKV107" s="75"/>
      <c r="QKW107" s="72"/>
      <c r="QKX107" s="68"/>
      <c r="QKY107" s="1"/>
      <c r="QKZ107" s="73"/>
      <c r="QLA107" s="74"/>
      <c r="QLC107" s="75"/>
      <c r="QLF107" s="75"/>
      <c r="QLG107" s="72"/>
      <c r="QLH107" s="68"/>
      <c r="QLI107" s="1"/>
      <c r="QLJ107" s="73"/>
      <c r="QLK107" s="74"/>
      <c r="QLM107" s="75"/>
      <c r="QLP107" s="75"/>
      <c r="QLQ107" s="72"/>
      <c r="QLR107" s="68"/>
      <c r="QLS107" s="1"/>
      <c r="QLT107" s="73"/>
      <c r="QLU107" s="74"/>
      <c r="QLW107" s="75"/>
      <c r="QLZ107" s="75"/>
      <c r="QMA107" s="72"/>
      <c r="QMB107" s="68"/>
      <c r="QMC107" s="1"/>
      <c r="QMD107" s="73"/>
      <c r="QME107" s="74"/>
      <c r="QMG107" s="75"/>
      <c r="QMJ107" s="75"/>
      <c r="QMK107" s="72"/>
      <c r="QML107" s="68"/>
      <c r="QMM107" s="1"/>
      <c r="QMN107" s="73"/>
      <c r="QMO107" s="74"/>
      <c r="QMQ107" s="75"/>
      <c r="QMT107" s="75"/>
      <c r="QMU107" s="72"/>
      <c r="QMV107" s="68"/>
      <c r="QMW107" s="1"/>
      <c r="QMX107" s="73"/>
      <c r="QMY107" s="74"/>
      <c r="QNA107" s="75"/>
      <c r="QND107" s="75"/>
      <c r="QNE107" s="72"/>
      <c r="QNF107" s="68"/>
      <c r="QNG107" s="1"/>
      <c r="QNH107" s="73"/>
      <c r="QNI107" s="74"/>
      <c r="QNK107" s="75"/>
      <c r="QNN107" s="75"/>
      <c r="QNO107" s="72"/>
      <c r="QNP107" s="68"/>
      <c r="QNQ107" s="1"/>
      <c r="QNR107" s="73"/>
      <c r="QNS107" s="74"/>
      <c r="QNU107" s="75"/>
      <c r="QNX107" s="75"/>
      <c r="QNY107" s="72"/>
      <c r="QNZ107" s="68"/>
      <c r="QOA107" s="1"/>
      <c r="QOB107" s="73"/>
      <c r="QOC107" s="74"/>
      <c r="QOE107" s="75"/>
      <c r="QOH107" s="75"/>
      <c r="QOI107" s="72"/>
      <c r="QOJ107" s="68"/>
      <c r="QOK107" s="1"/>
      <c r="QOL107" s="73"/>
      <c r="QOM107" s="74"/>
      <c r="QOO107" s="75"/>
      <c r="QOR107" s="75"/>
      <c r="QOS107" s="72"/>
      <c r="QOT107" s="68"/>
      <c r="QOU107" s="1"/>
      <c r="QOV107" s="73"/>
      <c r="QOW107" s="74"/>
      <c r="QOY107" s="75"/>
      <c r="QPB107" s="75"/>
      <c r="QPC107" s="72"/>
      <c r="QPD107" s="68"/>
      <c r="QPE107" s="1"/>
      <c r="QPF107" s="73"/>
      <c r="QPG107" s="74"/>
      <c r="QPI107" s="75"/>
      <c r="QPL107" s="75"/>
      <c r="QPM107" s="72"/>
      <c r="QPN107" s="68"/>
      <c r="QPO107" s="1"/>
      <c r="QPP107" s="73"/>
      <c r="QPQ107" s="74"/>
      <c r="QPS107" s="75"/>
      <c r="QPV107" s="75"/>
      <c r="QPW107" s="72"/>
      <c r="QPX107" s="68"/>
      <c r="QPY107" s="1"/>
      <c r="QPZ107" s="73"/>
      <c r="QQA107" s="74"/>
      <c r="QQC107" s="75"/>
      <c r="QQF107" s="75"/>
      <c r="QQG107" s="72"/>
      <c r="QQH107" s="68"/>
      <c r="QQI107" s="1"/>
      <c r="QQJ107" s="73"/>
      <c r="QQK107" s="74"/>
      <c r="QQM107" s="75"/>
      <c r="QQP107" s="75"/>
      <c r="QQQ107" s="72"/>
      <c r="QQR107" s="68"/>
      <c r="QQS107" s="1"/>
      <c r="QQT107" s="73"/>
      <c r="QQU107" s="74"/>
      <c r="QQW107" s="75"/>
      <c r="QQZ107" s="75"/>
      <c r="QRA107" s="72"/>
      <c r="QRB107" s="68"/>
      <c r="QRC107" s="1"/>
      <c r="QRD107" s="73"/>
      <c r="QRE107" s="74"/>
      <c r="QRG107" s="75"/>
      <c r="QRJ107" s="75"/>
      <c r="QRK107" s="72"/>
      <c r="QRL107" s="68"/>
      <c r="QRM107" s="1"/>
      <c r="QRN107" s="73"/>
      <c r="QRO107" s="74"/>
      <c r="QRQ107" s="75"/>
      <c r="QRT107" s="75"/>
      <c r="QRU107" s="72"/>
      <c r="QRV107" s="68"/>
      <c r="QRW107" s="1"/>
      <c r="QRX107" s="73"/>
      <c r="QRY107" s="74"/>
      <c r="QSA107" s="75"/>
      <c r="QSD107" s="75"/>
      <c r="QSE107" s="72"/>
      <c r="QSF107" s="68"/>
      <c r="QSG107" s="1"/>
      <c r="QSH107" s="73"/>
      <c r="QSI107" s="74"/>
      <c r="QSK107" s="75"/>
      <c r="QSN107" s="75"/>
      <c r="QSO107" s="72"/>
      <c r="QSP107" s="68"/>
      <c r="QSQ107" s="1"/>
      <c r="QSR107" s="73"/>
      <c r="QSS107" s="74"/>
      <c r="QSU107" s="75"/>
      <c r="QSX107" s="75"/>
      <c r="QSY107" s="72"/>
      <c r="QSZ107" s="68"/>
      <c r="QTA107" s="1"/>
      <c r="QTB107" s="73"/>
      <c r="QTC107" s="74"/>
      <c r="QTE107" s="75"/>
      <c r="QTH107" s="75"/>
      <c r="QTI107" s="72"/>
      <c r="QTJ107" s="68"/>
      <c r="QTK107" s="1"/>
      <c r="QTL107" s="73"/>
      <c r="QTM107" s="74"/>
      <c r="QTO107" s="75"/>
      <c r="QTR107" s="75"/>
      <c r="QTS107" s="72"/>
      <c r="QTT107" s="68"/>
      <c r="QTU107" s="1"/>
      <c r="QTV107" s="73"/>
      <c r="QTW107" s="74"/>
      <c r="QTY107" s="75"/>
      <c r="QUB107" s="75"/>
      <c r="QUC107" s="72"/>
      <c r="QUD107" s="68"/>
      <c r="QUE107" s="1"/>
      <c r="QUF107" s="73"/>
      <c r="QUG107" s="74"/>
      <c r="QUI107" s="75"/>
      <c r="QUL107" s="75"/>
      <c r="QUM107" s="72"/>
      <c r="QUN107" s="68"/>
      <c r="QUO107" s="1"/>
      <c r="QUP107" s="73"/>
      <c r="QUQ107" s="74"/>
      <c r="QUS107" s="75"/>
      <c r="QUV107" s="75"/>
      <c r="QUW107" s="72"/>
      <c r="QUX107" s="68"/>
      <c r="QUY107" s="1"/>
      <c r="QUZ107" s="73"/>
      <c r="QVA107" s="74"/>
      <c r="QVC107" s="75"/>
      <c r="QVF107" s="75"/>
      <c r="QVG107" s="72"/>
      <c r="QVH107" s="68"/>
      <c r="QVI107" s="1"/>
      <c r="QVJ107" s="73"/>
      <c r="QVK107" s="74"/>
      <c r="QVM107" s="75"/>
      <c r="QVP107" s="75"/>
      <c r="QVQ107" s="72"/>
      <c r="QVR107" s="68"/>
      <c r="QVS107" s="1"/>
      <c r="QVT107" s="73"/>
      <c r="QVU107" s="74"/>
      <c r="QVW107" s="75"/>
      <c r="QVZ107" s="75"/>
      <c r="QWA107" s="72"/>
      <c r="QWB107" s="68"/>
      <c r="QWC107" s="1"/>
      <c r="QWD107" s="73"/>
      <c r="QWE107" s="74"/>
      <c r="QWG107" s="75"/>
      <c r="QWJ107" s="75"/>
      <c r="QWK107" s="72"/>
      <c r="QWL107" s="68"/>
      <c r="QWM107" s="1"/>
      <c r="QWN107" s="73"/>
      <c r="QWO107" s="74"/>
      <c r="QWQ107" s="75"/>
      <c r="QWT107" s="75"/>
      <c r="QWU107" s="72"/>
      <c r="QWV107" s="68"/>
      <c r="QWW107" s="1"/>
      <c r="QWX107" s="73"/>
      <c r="QWY107" s="74"/>
      <c r="QXA107" s="75"/>
      <c r="QXD107" s="75"/>
      <c r="QXE107" s="72"/>
      <c r="QXF107" s="68"/>
      <c r="QXG107" s="1"/>
      <c r="QXH107" s="73"/>
      <c r="QXI107" s="74"/>
      <c r="QXK107" s="75"/>
      <c r="QXN107" s="75"/>
      <c r="QXO107" s="72"/>
      <c r="QXP107" s="68"/>
      <c r="QXQ107" s="1"/>
      <c r="QXR107" s="73"/>
      <c r="QXS107" s="74"/>
      <c r="QXU107" s="75"/>
      <c r="QXX107" s="75"/>
      <c r="QXY107" s="72"/>
      <c r="QXZ107" s="68"/>
      <c r="QYA107" s="1"/>
      <c r="QYB107" s="73"/>
      <c r="QYC107" s="74"/>
      <c r="QYE107" s="75"/>
      <c r="QYH107" s="75"/>
      <c r="QYI107" s="72"/>
      <c r="QYJ107" s="68"/>
      <c r="QYK107" s="1"/>
      <c r="QYL107" s="73"/>
      <c r="QYM107" s="74"/>
      <c r="QYO107" s="75"/>
      <c r="QYR107" s="75"/>
      <c r="QYS107" s="72"/>
      <c r="QYT107" s="68"/>
      <c r="QYU107" s="1"/>
      <c r="QYV107" s="73"/>
      <c r="QYW107" s="74"/>
      <c r="QYY107" s="75"/>
      <c r="QZB107" s="75"/>
      <c r="QZC107" s="72"/>
      <c r="QZD107" s="68"/>
      <c r="QZE107" s="1"/>
      <c r="QZF107" s="73"/>
      <c r="QZG107" s="74"/>
      <c r="QZI107" s="75"/>
      <c r="QZL107" s="75"/>
      <c r="QZM107" s="72"/>
      <c r="QZN107" s="68"/>
      <c r="QZO107" s="1"/>
      <c r="QZP107" s="73"/>
      <c r="QZQ107" s="74"/>
      <c r="QZS107" s="75"/>
      <c r="QZV107" s="75"/>
      <c r="QZW107" s="72"/>
      <c r="QZX107" s="68"/>
      <c r="QZY107" s="1"/>
      <c r="QZZ107" s="73"/>
      <c r="RAA107" s="74"/>
      <c r="RAC107" s="75"/>
      <c r="RAF107" s="75"/>
      <c r="RAG107" s="72"/>
      <c r="RAH107" s="68"/>
      <c r="RAI107" s="1"/>
      <c r="RAJ107" s="73"/>
      <c r="RAK107" s="74"/>
      <c r="RAM107" s="75"/>
      <c r="RAP107" s="75"/>
      <c r="RAQ107" s="72"/>
      <c r="RAR107" s="68"/>
      <c r="RAS107" s="1"/>
      <c r="RAT107" s="73"/>
      <c r="RAU107" s="74"/>
      <c r="RAW107" s="75"/>
      <c r="RAZ107" s="75"/>
      <c r="RBA107" s="72"/>
      <c r="RBB107" s="68"/>
      <c r="RBC107" s="1"/>
      <c r="RBD107" s="73"/>
      <c r="RBE107" s="74"/>
      <c r="RBG107" s="75"/>
      <c r="RBJ107" s="75"/>
      <c r="RBK107" s="72"/>
      <c r="RBL107" s="68"/>
      <c r="RBM107" s="1"/>
      <c r="RBN107" s="73"/>
      <c r="RBO107" s="74"/>
      <c r="RBQ107" s="75"/>
      <c r="RBT107" s="75"/>
      <c r="RBU107" s="72"/>
      <c r="RBV107" s="68"/>
      <c r="RBW107" s="1"/>
      <c r="RBX107" s="73"/>
      <c r="RBY107" s="74"/>
      <c r="RCA107" s="75"/>
      <c r="RCD107" s="75"/>
      <c r="RCE107" s="72"/>
      <c r="RCF107" s="68"/>
      <c r="RCG107" s="1"/>
      <c r="RCH107" s="73"/>
      <c r="RCI107" s="74"/>
      <c r="RCK107" s="75"/>
      <c r="RCN107" s="75"/>
      <c r="RCO107" s="72"/>
      <c r="RCP107" s="68"/>
      <c r="RCQ107" s="1"/>
      <c r="RCR107" s="73"/>
      <c r="RCS107" s="74"/>
      <c r="RCU107" s="75"/>
      <c r="RCX107" s="75"/>
      <c r="RCY107" s="72"/>
      <c r="RCZ107" s="68"/>
      <c r="RDA107" s="1"/>
      <c r="RDB107" s="73"/>
      <c r="RDC107" s="74"/>
      <c r="RDE107" s="75"/>
      <c r="RDH107" s="75"/>
      <c r="RDI107" s="72"/>
      <c r="RDJ107" s="68"/>
      <c r="RDK107" s="1"/>
      <c r="RDL107" s="73"/>
      <c r="RDM107" s="74"/>
      <c r="RDO107" s="75"/>
      <c r="RDR107" s="75"/>
      <c r="RDS107" s="72"/>
      <c r="RDT107" s="68"/>
      <c r="RDU107" s="1"/>
      <c r="RDV107" s="73"/>
      <c r="RDW107" s="74"/>
      <c r="RDY107" s="75"/>
      <c r="REB107" s="75"/>
      <c r="REC107" s="72"/>
      <c r="RED107" s="68"/>
      <c r="REE107" s="1"/>
      <c r="REF107" s="73"/>
      <c r="REG107" s="74"/>
      <c r="REI107" s="75"/>
      <c r="REL107" s="75"/>
      <c r="REM107" s="72"/>
      <c r="REN107" s="68"/>
      <c r="REO107" s="1"/>
      <c r="REP107" s="73"/>
      <c r="REQ107" s="74"/>
      <c r="RES107" s="75"/>
      <c r="REV107" s="75"/>
      <c r="REW107" s="72"/>
      <c r="REX107" s="68"/>
      <c r="REY107" s="1"/>
      <c r="REZ107" s="73"/>
      <c r="RFA107" s="74"/>
      <c r="RFC107" s="75"/>
      <c r="RFF107" s="75"/>
      <c r="RFG107" s="72"/>
      <c r="RFH107" s="68"/>
      <c r="RFI107" s="1"/>
      <c r="RFJ107" s="73"/>
      <c r="RFK107" s="74"/>
      <c r="RFM107" s="75"/>
      <c r="RFP107" s="75"/>
      <c r="RFQ107" s="72"/>
      <c r="RFR107" s="68"/>
      <c r="RFS107" s="1"/>
      <c r="RFT107" s="73"/>
      <c r="RFU107" s="74"/>
      <c r="RFW107" s="75"/>
      <c r="RFZ107" s="75"/>
      <c r="RGA107" s="72"/>
      <c r="RGB107" s="68"/>
      <c r="RGC107" s="1"/>
      <c r="RGD107" s="73"/>
      <c r="RGE107" s="74"/>
      <c r="RGG107" s="75"/>
      <c r="RGJ107" s="75"/>
      <c r="RGK107" s="72"/>
      <c r="RGL107" s="68"/>
      <c r="RGM107" s="1"/>
      <c r="RGN107" s="73"/>
      <c r="RGO107" s="74"/>
      <c r="RGQ107" s="75"/>
      <c r="RGT107" s="75"/>
      <c r="RGU107" s="72"/>
      <c r="RGV107" s="68"/>
      <c r="RGW107" s="1"/>
      <c r="RGX107" s="73"/>
      <c r="RGY107" s="74"/>
      <c r="RHA107" s="75"/>
      <c r="RHD107" s="75"/>
      <c r="RHE107" s="72"/>
      <c r="RHF107" s="68"/>
      <c r="RHG107" s="1"/>
      <c r="RHH107" s="73"/>
      <c r="RHI107" s="74"/>
      <c r="RHK107" s="75"/>
      <c r="RHN107" s="75"/>
      <c r="RHO107" s="72"/>
      <c r="RHP107" s="68"/>
      <c r="RHQ107" s="1"/>
      <c r="RHR107" s="73"/>
      <c r="RHS107" s="74"/>
      <c r="RHU107" s="75"/>
      <c r="RHX107" s="75"/>
      <c r="RHY107" s="72"/>
      <c r="RHZ107" s="68"/>
      <c r="RIA107" s="1"/>
      <c r="RIB107" s="73"/>
      <c r="RIC107" s="74"/>
      <c r="RIE107" s="75"/>
      <c r="RIH107" s="75"/>
      <c r="RII107" s="72"/>
      <c r="RIJ107" s="68"/>
      <c r="RIK107" s="1"/>
      <c r="RIL107" s="73"/>
      <c r="RIM107" s="74"/>
      <c r="RIO107" s="75"/>
      <c r="RIR107" s="75"/>
      <c r="RIS107" s="72"/>
      <c r="RIT107" s="68"/>
      <c r="RIU107" s="1"/>
      <c r="RIV107" s="73"/>
      <c r="RIW107" s="74"/>
      <c r="RIY107" s="75"/>
      <c r="RJB107" s="75"/>
      <c r="RJC107" s="72"/>
      <c r="RJD107" s="68"/>
      <c r="RJE107" s="1"/>
      <c r="RJF107" s="73"/>
      <c r="RJG107" s="74"/>
      <c r="RJI107" s="75"/>
      <c r="RJL107" s="75"/>
      <c r="RJM107" s="72"/>
      <c r="RJN107" s="68"/>
      <c r="RJO107" s="1"/>
      <c r="RJP107" s="73"/>
      <c r="RJQ107" s="74"/>
      <c r="RJS107" s="75"/>
      <c r="RJV107" s="75"/>
      <c r="RJW107" s="72"/>
      <c r="RJX107" s="68"/>
      <c r="RJY107" s="1"/>
      <c r="RJZ107" s="73"/>
      <c r="RKA107" s="74"/>
      <c r="RKC107" s="75"/>
      <c r="RKF107" s="75"/>
      <c r="RKG107" s="72"/>
      <c r="RKH107" s="68"/>
      <c r="RKI107" s="1"/>
      <c r="RKJ107" s="73"/>
      <c r="RKK107" s="74"/>
      <c r="RKM107" s="75"/>
      <c r="RKP107" s="75"/>
      <c r="RKQ107" s="72"/>
      <c r="RKR107" s="68"/>
      <c r="RKS107" s="1"/>
      <c r="RKT107" s="73"/>
      <c r="RKU107" s="74"/>
      <c r="RKW107" s="75"/>
      <c r="RKZ107" s="75"/>
      <c r="RLA107" s="72"/>
      <c r="RLB107" s="68"/>
      <c r="RLC107" s="1"/>
      <c r="RLD107" s="73"/>
      <c r="RLE107" s="74"/>
      <c r="RLG107" s="75"/>
      <c r="RLJ107" s="75"/>
      <c r="RLK107" s="72"/>
      <c r="RLL107" s="68"/>
      <c r="RLM107" s="1"/>
      <c r="RLN107" s="73"/>
      <c r="RLO107" s="74"/>
      <c r="RLQ107" s="75"/>
      <c r="RLT107" s="75"/>
      <c r="RLU107" s="72"/>
      <c r="RLV107" s="68"/>
      <c r="RLW107" s="1"/>
      <c r="RLX107" s="73"/>
      <c r="RLY107" s="74"/>
      <c r="RMA107" s="75"/>
      <c r="RMD107" s="75"/>
      <c r="RME107" s="72"/>
      <c r="RMF107" s="68"/>
      <c r="RMG107" s="1"/>
      <c r="RMH107" s="73"/>
      <c r="RMI107" s="74"/>
      <c r="RMK107" s="75"/>
      <c r="RMN107" s="75"/>
      <c r="RMO107" s="72"/>
      <c r="RMP107" s="68"/>
      <c r="RMQ107" s="1"/>
      <c r="RMR107" s="73"/>
      <c r="RMS107" s="74"/>
      <c r="RMU107" s="75"/>
      <c r="RMX107" s="75"/>
      <c r="RMY107" s="72"/>
      <c r="RMZ107" s="68"/>
      <c r="RNA107" s="1"/>
      <c r="RNB107" s="73"/>
      <c r="RNC107" s="74"/>
      <c r="RNE107" s="75"/>
      <c r="RNH107" s="75"/>
      <c r="RNI107" s="72"/>
      <c r="RNJ107" s="68"/>
      <c r="RNK107" s="1"/>
      <c r="RNL107" s="73"/>
      <c r="RNM107" s="74"/>
      <c r="RNO107" s="75"/>
      <c r="RNR107" s="75"/>
      <c r="RNS107" s="72"/>
      <c r="RNT107" s="68"/>
      <c r="RNU107" s="1"/>
      <c r="RNV107" s="73"/>
      <c r="RNW107" s="74"/>
      <c r="RNY107" s="75"/>
      <c r="ROB107" s="75"/>
      <c r="ROC107" s="72"/>
      <c r="ROD107" s="68"/>
      <c r="ROE107" s="1"/>
      <c r="ROF107" s="73"/>
      <c r="ROG107" s="74"/>
      <c r="ROI107" s="75"/>
      <c r="ROL107" s="75"/>
      <c r="ROM107" s="72"/>
      <c r="RON107" s="68"/>
      <c r="ROO107" s="1"/>
      <c r="ROP107" s="73"/>
      <c r="ROQ107" s="74"/>
      <c r="ROS107" s="75"/>
      <c r="ROV107" s="75"/>
      <c r="ROW107" s="72"/>
      <c r="ROX107" s="68"/>
      <c r="ROY107" s="1"/>
      <c r="ROZ107" s="73"/>
      <c r="RPA107" s="74"/>
      <c r="RPC107" s="75"/>
      <c r="RPF107" s="75"/>
      <c r="RPG107" s="72"/>
      <c r="RPH107" s="68"/>
      <c r="RPI107" s="1"/>
      <c r="RPJ107" s="73"/>
      <c r="RPK107" s="74"/>
      <c r="RPM107" s="75"/>
      <c r="RPP107" s="75"/>
      <c r="RPQ107" s="72"/>
      <c r="RPR107" s="68"/>
      <c r="RPS107" s="1"/>
      <c r="RPT107" s="73"/>
      <c r="RPU107" s="74"/>
      <c r="RPW107" s="75"/>
      <c r="RPZ107" s="75"/>
      <c r="RQA107" s="72"/>
      <c r="RQB107" s="68"/>
      <c r="RQC107" s="1"/>
      <c r="RQD107" s="73"/>
      <c r="RQE107" s="74"/>
      <c r="RQG107" s="75"/>
      <c r="RQJ107" s="75"/>
      <c r="RQK107" s="72"/>
      <c r="RQL107" s="68"/>
      <c r="RQM107" s="1"/>
      <c r="RQN107" s="73"/>
      <c r="RQO107" s="74"/>
      <c r="RQQ107" s="75"/>
      <c r="RQT107" s="75"/>
      <c r="RQU107" s="72"/>
      <c r="RQV107" s="68"/>
      <c r="RQW107" s="1"/>
      <c r="RQX107" s="73"/>
      <c r="RQY107" s="74"/>
      <c r="RRA107" s="75"/>
      <c r="RRD107" s="75"/>
      <c r="RRE107" s="72"/>
      <c r="RRF107" s="68"/>
      <c r="RRG107" s="1"/>
      <c r="RRH107" s="73"/>
      <c r="RRI107" s="74"/>
      <c r="RRK107" s="75"/>
      <c r="RRN107" s="75"/>
      <c r="RRO107" s="72"/>
      <c r="RRP107" s="68"/>
      <c r="RRQ107" s="1"/>
      <c r="RRR107" s="73"/>
      <c r="RRS107" s="74"/>
      <c r="RRU107" s="75"/>
      <c r="RRX107" s="75"/>
      <c r="RRY107" s="72"/>
      <c r="RRZ107" s="68"/>
      <c r="RSA107" s="1"/>
      <c r="RSB107" s="73"/>
      <c r="RSC107" s="74"/>
      <c r="RSE107" s="75"/>
      <c r="RSH107" s="75"/>
      <c r="RSI107" s="72"/>
      <c r="RSJ107" s="68"/>
      <c r="RSK107" s="1"/>
      <c r="RSL107" s="73"/>
      <c r="RSM107" s="74"/>
      <c r="RSO107" s="75"/>
      <c r="RSR107" s="75"/>
      <c r="RSS107" s="72"/>
      <c r="RST107" s="68"/>
      <c r="RSU107" s="1"/>
      <c r="RSV107" s="73"/>
      <c r="RSW107" s="74"/>
      <c r="RSY107" s="75"/>
      <c r="RTB107" s="75"/>
      <c r="RTC107" s="72"/>
      <c r="RTD107" s="68"/>
      <c r="RTE107" s="1"/>
      <c r="RTF107" s="73"/>
      <c r="RTG107" s="74"/>
      <c r="RTI107" s="75"/>
      <c r="RTL107" s="75"/>
      <c r="RTM107" s="72"/>
      <c r="RTN107" s="68"/>
      <c r="RTO107" s="1"/>
      <c r="RTP107" s="73"/>
      <c r="RTQ107" s="74"/>
      <c r="RTS107" s="75"/>
      <c r="RTV107" s="75"/>
      <c r="RTW107" s="72"/>
      <c r="RTX107" s="68"/>
      <c r="RTY107" s="1"/>
      <c r="RTZ107" s="73"/>
      <c r="RUA107" s="74"/>
      <c r="RUC107" s="75"/>
      <c r="RUF107" s="75"/>
      <c r="RUG107" s="72"/>
      <c r="RUH107" s="68"/>
      <c r="RUI107" s="1"/>
      <c r="RUJ107" s="73"/>
      <c r="RUK107" s="74"/>
      <c r="RUM107" s="75"/>
      <c r="RUP107" s="75"/>
      <c r="RUQ107" s="72"/>
      <c r="RUR107" s="68"/>
      <c r="RUS107" s="1"/>
      <c r="RUT107" s="73"/>
      <c r="RUU107" s="74"/>
      <c r="RUW107" s="75"/>
      <c r="RUZ107" s="75"/>
      <c r="RVA107" s="72"/>
      <c r="RVB107" s="68"/>
      <c r="RVC107" s="1"/>
      <c r="RVD107" s="73"/>
      <c r="RVE107" s="74"/>
      <c r="RVG107" s="75"/>
      <c r="RVJ107" s="75"/>
      <c r="RVK107" s="72"/>
      <c r="RVL107" s="68"/>
      <c r="RVM107" s="1"/>
      <c r="RVN107" s="73"/>
      <c r="RVO107" s="74"/>
      <c r="RVQ107" s="75"/>
      <c r="RVT107" s="75"/>
      <c r="RVU107" s="72"/>
      <c r="RVV107" s="68"/>
      <c r="RVW107" s="1"/>
      <c r="RVX107" s="73"/>
      <c r="RVY107" s="74"/>
      <c r="RWA107" s="75"/>
      <c r="RWD107" s="75"/>
      <c r="RWE107" s="72"/>
      <c r="RWF107" s="68"/>
      <c r="RWG107" s="1"/>
      <c r="RWH107" s="73"/>
      <c r="RWI107" s="74"/>
      <c r="RWK107" s="75"/>
      <c r="RWN107" s="75"/>
      <c r="RWO107" s="72"/>
      <c r="RWP107" s="68"/>
      <c r="RWQ107" s="1"/>
      <c r="RWR107" s="73"/>
      <c r="RWS107" s="74"/>
      <c r="RWU107" s="75"/>
      <c r="RWX107" s="75"/>
      <c r="RWY107" s="72"/>
      <c r="RWZ107" s="68"/>
      <c r="RXA107" s="1"/>
      <c r="RXB107" s="73"/>
      <c r="RXC107" s="74"/>
      <c r="RXE107" s="75"/>
      <c r="RXH107" s="75"/>
      <c r="RXI107" s="72"/>
      <c r="RXJ107" s="68"/>
      <c r="RXK107" s="1"/>
      <c r="RXL107" s="73"/>
      <c r="RXM107" s="74"/>
      <c r="RXO107" s="75"/>
      <c r="RXR107" s="75"/>
      <c r="RXS107" s="72"/>
      <c r="RXT107" s="68"/>
      <c r="RXU107" s="1"/>
      <c r="RXV107" s="73"/>
      <c r="RXW107" s="74"/>
      <c r="RXY107" s="75"/>
      <c r="RYB107" s="75"/>
      <c r="RYC107" s="72"/>
      <c r="RYD107" s="68"/>
      <c r="RYE107" s="1"/>
      <c r="RYF107" s="73"/>
      <c r="RYG107" s="74"/>
      <c r="RYI107" s="75"/>
      <c r="RYL107" s="75"/>
      <c r="RYM107" s="72"/>
      <c r="RYN107" s="68"/>
      <c r="RYO107" s="1"/>
      <c r="RYP107" s="73"/>
      <c r="RYQ107" s="74"/>
      <c r="RYS107" s="75"/>
      <c r="RYV107" s="75"/>
      <c r="RYW107" s="72"/>
      <c r="RYX107" s="68"/>
      <c r="RYY107" s="1"/>
      <c r="RYZ107" s="73"/>
      <c r="RZA107" s="74"/>
      <c r="RZC107" s="75"/>
      <c r="RZF107" s="75"/>
      <c r="RZG107" s="72"/>
      <c r="RZH107" s="68"/>
      <c r="RZI107" s="1"/>
      <c r="RZJ107" s="73"/>
      <c r="RZK107" s="74"/>
      <c r="RZM107" s="75"/>
      <c r="RZP107" s="75"/>
      <c r="RZQ107" s="72"/>
      <c r="RZR107" s="68"/>
      <c r="RZS107" s="1"/>
      <c r="RZT107" s="73"/>
      <c r="RZU107" s="74"/>
      <c r="RZW107" s="75"/>
      <c r="RZZ107" s="75"/>
      <c r="SAA107" s="72"/>
      <c r="SAB107" s="68"/>
      <c r="SAC107" s="1"/>
      <c r="SAD107" s="73"/>
      <c r="SAE107" s="74"/>
      <c r="SAG107" s="75"/>
      <c r="SAJ107" s="75"/>
      <c r="SAK107" s="72"/>
      <c r="SAL107" s="68"/>
      <c r="SAM107" s="1"/>
      <c r="SAN107" s="73"/>
      <c r="SAO107" s="74"/>
      <c r="SAQ107" s="75"/>
      <c r="SAT107" s="75"/>
      <c r="SAU107" s="72"/>
      <c r="SAV107" s="68"/>
      <c r="SAW107" s="1"/>
      <c r="SAX107" s="73"/>
      <c r="SAY107" s="74"/>
      <c r="SBA107" s="75"/>
      <c r="SBD107" s="75"/>
      <c r="SBE107" s="72"/>
      <c r="SBF107" s="68"/>
      <c r="SBG107" s="1"/>
      <c r="SBH107" s="73"/>
      <c r="SBI107" s="74"/>
      <c r="SBK107" s="75"/>
      <c r="SBN107" s="75"/>
      <c r="SBO107" s="72"/>
      <c r="SBP107" s="68"/>
      <c r="SBQ107" s="1"/>
      <c r="SBR107" s="73"/>
      <c r="SBS107" s="74"/>
      <c r="SBU107" s="75"/>
      <c r="SBX107" s="75"/>
      <c r="SBY107" s="72"/>
      <c r="SBZ107" s="68"/>
      <c r="SCA107" s="1"/>
      <c r="SCB107" s="73"/>
      <c r="SCC107" s="74"/>
      <c r="SCE107" s="75"/>
      <c r="SCH107" s="75"/>
      <c r="SCI107" s="72"/>
      <c r="SCJ107" s="68"/>
      <c r="SCK107" s="1"/>
      <c r="SCL107" s="73"/>
      <c r="SCM107" s="74"/>
      <c r="SCO107" s="75"/>
      <c r="SCR107" s="75"/>
      <c r="SCS107" s="72"/>
      <c r="SCT107" s="68"/>
      <c r="SCU107" s="1"/>
      <c r="SCV107" s="73"/>
      <c r="SCW107" s="74"/>
      <c r="SCY107" s="75"/>
      <c r="SDB107" s="75"/>
      <c r="SDC107" s="72"/>
      <c r="SDD107" s="68"/>
      <c r="SDE107" s="1"/>
      <c r="SDF107" s="73"/>
      <c r="SDG107" s="74"/>
      <c r="SDI107" s="75"/>
      <c r="SDL107" s="75"/>
      <c r="SDM107" s="72"/>
      <c r="SDN107" s="68"/>
      <c r="SDO107" s="1"/>
      <c r="SDP107" s="73"/>
      <c r="SDQ107" s="74"/>
      <c r="SDS107" s="75"/>
      <c r="SDV107" s="75"/>
      <c r="SDW107" s="72"/>
      <c r="SDX107" s="68"/>
      <c r="SDY107" s="1"/>
      <c r="SDZ107" s="73"/>
      <c r="SEA107" s="74"/>
      <c r="SEC107" s="75"/>
      <c r="SEF107" s="75"/>
      <c r="SEG107" s="72"/>
      <c r="SEH107" s="68"/>
      <c r="SEI107" s="1"/>
      <c r="SEJ107" s="73"/>
      <c r="SEK107" s="74"/>
      <c r="SEM107" s="75"/>
      <c r="SEP107" s="75"/>
      <c r="SEQ107" s="72"/>
      <c r="SER107" s="68"/>
      <c r="SES107" s="1"/>
      <c r="SET107" s="73"/>
      <c r="SEU107" s="74"/>
      <c r="SEW107" s="75"/>
      <c r="SEZ107" s="75"/>
      <c r="SFA107" s="72"/>
      <c r="SFB107" s="68"/>
      <c r="SFC107" s="1"/>
      <c r="SFD107" s="73"/>
      <c r="SFE107" s="74"/>
      <c r="SFG107" s="75"/>
      <c r="SFJ107" s="75"/>
      <c r="SFK107" s="72"/>
      <c r="SFL107" s="68"/>
      <c r="SFM107" s="1"/>
      <c r="SFN107" s="73"/>
      <c r="SFO107" s="74"/>
      <c r="SFQ107" s="75"/>
      <c r="SFT107" s="75"/>
      <c r="SFU107" s="72"/>
      <c r="SFV107" s="68"/>
      <c r="SFW107" s="1"/>
      <c r="SFX107" s="73"/>
      <c r="SFY107" s="74"/>
      <c r="SGA107" s="75"/>
      <c r="SGD107" s="75"/>
      <c r="SGE107" s="72"/>
      <c r="SGF107" s="68"/>
      <c r="SGG107" s="1"/>
      <c r="SGH107" s="73"/>
      <c r="SGI107" s="74"/>
      <c r="SGK107" s="75"/>
      <c r="SGN107" s="75"/>
      <c r="SGO107" s="72"/>
      <c r="SGP107" s="68"/>
      <c r="SGQ107" s="1"/>
      <c r="SGR107" s="73"/>
      <c r="SGS107" s="74"/>
      <c r="SGU107" s="75"/>
      <c r="SGX107" s="75"/>
      <c r="SGY107" s="72"/>
      <c r="SGZ107" s="68"/>
      <c r="SHA107" s="1"/>
      <c r="SHB107" s="73"/>
      <c r="SHC107" s="74"/>
      <c r="SHE107" s="75"/>
      <c r="SHH107" s="75"/>
      <c r="SHI107" s="72"/>
      <c r="SHJ107" s="68"/>
      <c r="SHK107" s="1"/>
      <c r="SHL107" s="73"/>
      <c r="SHM107" s="74"/>
      <c r="SHO107" s="75"/>
      <c r="SHR107" s="75"/>
      <c r="SHS107" s="72"/>
      <c r="SHT107" s="68"/>
      <c r="SHU107" s="1"/>
      <c r="SHV107" s="73"/>
      <c r="SHW107" s="74"/>
      <c r="SHY107" s="75"/>
      <c r="SIB107" s="75"/>
      <c r="SIC107" s="72"/>
      <c r="SID107" s="68"/>
      <c r="SIE107" s="1"/>
      <c r="SIF107" s="73"/>
      <c r="SIG107" s="74"/>
      <c r="SII107" s="75"/>
      <c r="SIL107" s="75"/>
      <c r="SIM107" s="72"/>
      <c r="SIN107" s="68"/>
      <c r="SIO107" s="1"/>
      <c r="SIP107" s="73"/>
      <c r="SIQ107" s="74"/>
      <c r="SIS107" s="75"/>
      <c r="SIV107" s="75"/>
      <c r="SIW107" s="72"/>
      <c r="SIX107" s="68"/>
      <c r="SIY107" s="1"/>
      <c r="SIZ107" s="73"/>
      <c r="SJA107" s="74"/>
      <c r="SJC107" s="75"/>
      <c r="SJF107" s="75"/>
      <c r="SJG107" s="72"/>
      <c r="SJH107" s="68"/>
      <c r="SJI107" s="1"/>
      <c r="SJJ107" s="73"/>
      <c r="SJK107" s="74"/>
      <c r="SJM107" s="75"/>
      <c r="SJP107" s="75"/>
      <c r="SJQ107" s="72"/>
      <c r="SJR107" s="68"/>
      <c r="SJS107" s="1"/>
      <c r="SJT107" s="73"/>
      <c r="SJU107" s="74"/>
      <c r="SJW107" s="75"/>
      <c r="SJZ107" s="75"/>
      <c r="SKA107" s="72"/>
      <c r="SKB107" s="68"/>
      <c r="SKC107" s="1"/>
      <c r="SKD107" s="73"/>
      <c r="SKE107" s="74"/>
      <c r="SKG107" s="75"/>
      <c r="SKJ107" s="75"/>
      <c r="SKK107" s="72"/>
      <c r="SKL107" s="68"/>
      <c r="SKM107" s="1"/>
      <c r="SKN107" s="73"/>
      <c r="SKO107" s="74"/>
      <c r="SKQ107" s="75"/>
      <c r="SKT107" s="75"/>
      <c r="SKU107" s="72"/>
      <c r="SKV107" s="68"/>
      <c r="SKW107" s="1"/>
      <c r="SKX107" s="73"/>
      <c r="SKY107" s="74"/>
      <c r="SLA107" s="75"/>
      <c r="SLD107" s="75"/>
      <c r="SLE107" s="72"/>
      <c r="SLF107" s="68"/>
      <c r="SLG107" s="1"/>
      <c r="SLH107" s="73"/>
      <c r="SLI107" s="74"/>
      <c r="SLK107" s="75"/>
      <c r="SLN107" s="75"/>
      <c r="SLO107" s="72"/>
      <c r="SLP107" s="68"/>
      <c r="SLQ107" s="1"/>
      <c r="SLR107" s="73"/>
      <c r="SLS107" s="74"/>
      <c r="SLU107" s="75"/>
      <c r="SLX107" s="75"/>
      <c r="SLY107" s="72"/>
      <c r="SLZ107" s="68"/>
      <c r="SMA107" s="1"/>
      <c r="SMB107" s="73"/>
      <c r="SMC107" s="74"/>
      <c r="SME107" s="75"/>
      <c r="SMH107" s="75"/>
      <c r="SMI107" s="72"/>
      <c r="SMJ107" s="68"/>
      <c r="SMK107" s="1"/>
      <c r="SML107" s="73"/>
      <c r="SMM107" s="74"/>
      <c r="SMO107" s="75"/>
      <c r="SMR107" s="75"/>
      <c r="SMS107" s="72"/>
      <c r="SMT107" s="68"/>
      <c r="SMU107" s="1"/>
      <c r="SMV107" s="73"/>
      <c r="SMW107" s="74"/>
      <c r="SMY107" s="75"/>
      <c r="SNB107" s="75"/>
      <c r="SNC107" s="72"/>
      <c r="SND107" s="68"/>
      <c r="SNE107" s="1"/>
      <c r="SNF107" s="73"/>
      <c r="SNG107" s="74"/>
      <c r="SNI107" s="75"/>
      <c r="SNL107" s="75"/>
      <c r="SNM107" s="72"/>
      <c r="SNN107" s="68"/>
      <c r="SNO107" s="1"/>
      <c r="SNP107" s="73"/>
      <c r="SNQ107" s="74"/>
      <c r="SNS107" s="75"/>
      <c r="SNV107" s="75"/>
      <c r="SNW107" s="72"/>
      <c r="SNX107" s="68"/>
      <c r="SNY107" s="1"/>
      <c r="SNZ107" s="73"/>
      <c r="SOA107" s="74"/>
      <c r="SOC107" s="75"/>
      <c r="SOF107" s="75"/>
      <c r="SOG107" s="72"/>
      <c r="SOH107" s="68"/>
      <c r="SOI107" s="1"/>
      <c r="SOJ107" s="73"/>
      <c r="SOK107" s="74"/>
      <c r="SOM107" s="75"/>
      <c r="SOP107" s="75"/>
      <c r="SOQ107" s="72"/>
      <c r="SOR107" s="68"/>
      <c r="SOS107" s="1"/>
      <c r="SOT107" s="73"/>
      <c r="SOU107" s="74"/>
      <c r="SOW107" s="75"/>
      <c r="SOZ107" s="75"/>
      <c r="SPA107" s="72"/>
      <c r="SPB107" s="68"/>
      <c r="SPC107" s="1"/>
      <c r="SPD107" s="73"/>
      <c r="SPE107" s="74"/>
      <c r="SPG107" s="75"/>
      <c r="SPJ107" s="75"/>
      <c r="SPK107" s="72"/>
      <c r="SPL107" s="68"/>
      <c r="SPM107" s="1"/>
      <c r="SPN107" s="73"/>
      <c r="SPO107" s="74"/>
      <c r="SPQ107" s="75"/>
      <c r="SPT107" s="75"/>
      <c r="SPU107" s="72"/>
      <c r="SPV107" s="68"/>
      <c r="SPW107" s="1"/>
      <c r="SPX107" s="73"/>
      <c r="SPY107" s="74"/>
      <c r="SQA107" s="75"/>
      <c r="SQD107" s="75"/>
      <c r="SQE107" s="72"/>
      <c r="SQF107" s="68"/>
      <c r="SQG107" s="1"/>
      <c r="SQH107" s="73"/>
      <c r="SQI107" s="74"/>
      <c r="SQK107" s="75"/>
      <c r="SQN107" s="75"/>
      <c r="SQO107" s="72"/>
      <c r="SQP107" s="68"/>
      <c r="SQQ107" s="1"/>
      <c r="SQR107" s="73"/>
      <c r="SQS107" s="74"/>
      <c r="SQU107" s="75"/>
      <c r="SQX107" s="75"/>
      <c r="SQY107" s="72"/>
      <c r="SQZ107" s="68"/>
      <c r="SRA107" s="1"/>
      <c r="SRB107" s="73"/>
      <c r="SRC107" s="74"/>
      <c r="SRE107" s="75"/>
      <c r="SRH107" s="75"/>
      <c r="SRI107" s="72"/>
      <c r="SRJ107" s="68"/>
      <c r="SRK107" s="1"/>
      <c r="SRL107" s="73"/>
      <c r="SRM107" s="74"/>
      <c r="SRO107" s="75"/>
      <c r="SRR107" s="75"/>
      <c r="SRS107" s="72"/>
      <c r="SRT107" s="68"/>
      <c r="SRU107" s="1"/>
      <c r="SRV107" s="73"/>
      <c r="SRW107" s="74"/>
      <c r="SRY107" s="75"/>
      <c r="SSB107" s="75"/>
      <c r="SSC107" s="72"/>
      <c r="SSD107" s="68"/>
      <c r="SSE107" s="1"/>
      <c r="SSF107" s="73"/>
      <c r="SSG107" s="74"/>
      <c r="SSI107" s="75"/>
      <c r="SSL107" s="75"/>
      <c r="SSM107" s="72"/>
      <c r="SSN107" s="68"/>
      <c r="SSO107" s="1"/>
      <c r="SSP107" s="73"/>
      <c r="SSQ107" s="74"/>
      <c r="SSS107" s="75"/>
      <c r="SSV107" s="75"/>
      <c r="SSW107" s="72"/>
      <c r="SSX107" s="68"/>
      <c r="SSY107" s="1"/>
      <c r="SSZ107" s="73"/>
      <c r="STA107" s="74"/>
      <c r="STC107" s="75"/>
      <c r="STF107" s="75"/>
      <c r="STG107" s="72"/>
      <c r="STH107" s="68"/>
      <c r="STI107" s="1"/>
      <c r="STJ107" s="73"/>
      <c r="STK107" s="74"/>
      <c r="STM107" s="75"/>
      <c r="STP107" s="75"/>
      <c r="STQ107" s="72"/>
      <c r="STR107" s="68"/>
      <c r="STS107" s="1"/>
      <c r="STT107" s="73"/>
      <c r="STU107" s="74"/>
      <c r="STW107" s="75"/>
      <c r="STZ107" s="75"/>
      <c r="SUA107" s="72"/>
      <c r="SUB107" s="68"/>
      <c r="SUC107" s="1"/>
      <c r="SUD107" s="73"/>
      <c r="SUE107" s="74"/>
      <c r="SUG107" s="75"/>
      <c r="SUJ107" s="75"/>
      <c r="SUK107" s="72"/>
      <c r="SUL107" s="68"/>
      <c r="SUM107" s="1"/>
      <c r="SUN107" s="73"/>
      <c r="SUO107" s="74"/>
      <c r="SUQ107" s="75"/>
      <c r="SUT107" s="75"/>
      <c r="SUU107" s="72"/>
      <c r="SUV107" s="68"/>
      <c r="SUW107" s="1"/>
      <c r="SUX107" s="73"/>
      <c r="SUY107" s="74"/>
      <c r="SVA107" s="75"/>
      <c r="SVD107" s="75"/>
      <c r="SVE107" s="72"/>
      <c r="SVF107" s="68"/>
      <c r="SVG107" s="1"/>
      <c r="SVH107" s="73"/>
      <c r="SVI107" s="74"/>
      <c r="SVK107" s="75"/>
      <c r="SVN107" s="75"/>
      <c r="SVO107" s="72"/>
      <c r="SVP107" s="68"/>
      <c r="SVQ107" s="1"/>
      <c r="SVR107" s="73"/>
      <c r="SVS107" s="74"/>
      <c r="SVU107" s="75"/>
      <c r="SVX107" s="75"/>
      <c r="SVY107" s="72"/>
      <c r="SVZ107" s="68"/>
      <c r="SWA107" s="1"/>
      <c r="SWB107" s="73"/>
      <c r="SWC107" s="74"/>
      <c r="SWE107" s="75"/>
      <c r="SWH107" s="75"/>
      <c r="SWI107" s="72"/>
      <c r="SWJ107" s="68"/>
      <c r="SWK107" s="1"/>
      <c r="SWL107" s="73"/>
      <c r="SWM107" s="74"/>
      <c r="SWO107" s="75"/>
      <c r="SWR107" s="75"/>
      <c r="SWS107" s="72"/>
      <c r="SWT107" s="68"/>
      <c r="SWU107" s="1"/>
      <c r="SWV107" s="73"/>
      <c r="SWW107" s="74"/>
      <c r="SWY107" s="75"/>
      <c r="SXB107" s="75"/>
      <c r="SXC107" s="72"/>
      <c r="SXD107" s="68"/>
      <c r="SXE107" s="1"/>
      <c r="SXF107" s="73"/>
      <c r="SXG107" s="74"/>
      <c r="SXI107" s="75"/>
      <c r="SXL107" s="75"/>
      <c r="SXM107" s="72"/>
      <c r="SXN107" s="68"/>
      <c r="SXO107" s="1"/>
      <c r="SXP107" s="73"/>
      <c r="SXQ107" s="74"/>
      <c r="SXS107" s="75"/>
      <c r="SXV107" s="75"/>
      <c r="SXW107" s="72"/>
      <c r="SXX107" s="68"/>
      <c r="SXY107" s="1"/>
      <c r="SXZ107" s="73"/>
      <c r="SYA107" s="74"/>
      <c r="SYC107" s="75"/>
      <c r="SYF107" s="75"/>
      <c r="SYG107" s="72"/>
      <c r="SYH107" s="68"/>
      <c r="SYI107" s="1"/>
      <c r="SYJ107" s="73"/>
      <c r="SYK107" s="74"/>
      <c r="SYM107" s="75"/>
      <c r="SYP107" s="75"/>
      <c r="SYQ107" s="72"/>
      <c r="SYR107" s="68"/>
      <c r="SYS107" s="1"/>
      <c r="SYT107" s="73"/>
      <c r="SYU107" s="74"/>
      <c r="SYW107" s="75"/>
      <c r="SYZ107" s="75"/>
      <c r="SZA107" s="72"/>
      <c r="SZB107" s="68"/>
      <c r="SZC107" s="1"/>
      <c r="SZD107" s="73"/>
      <c r="SZE107" s="74"/>
      <c r="SZG107" s="75"/>
      <c r="SZJ107" s="75"/>
      <c r="SZK107" s="72"/>
      <c r="SZL107" s="68"/>
      <c r="SZM107" s="1"/>
      <c r="SZN107" s="73"/>
      <c r="SZO107" s="74"/>
      <c r="SZQ107" s="75"/>
      <c r="SZT107" s="75"/>
      <c r="SZU107" s="72"/>
      <c r="SZV107" s="68"/>
      <c r="SZW107" s="1"/>
      <c r="SZX107" s="73"/>
      <c r="SZY107" s="74"/>
      <c r="TAA107" s="75"/>
      <c r="TAD107" s="75"/>
      <c r="TAE107" s="72"/>
      <c r="TAF107" s="68"/>
      <c r="TAG107" s="1"/>
      <c r="TAH107" s="73"/>
      <c r="TAI107" s="74"/>
      <c r="TAK107" s="75"/>
      <c r="TAN107" s="75"/>
      <c r="TAO107" s="72"/>
      <c r="TAP107" s="68"/>
      <c r="TAQ107" s="1"/>
      <c r="TAR107" s="73"/>
      <c r="TAS107" s="74"/>
      <c r="TAU107" s="75"/>
      <c r="TAX107" s="75"/>
      <c r="TAY107" s="72"/>
      <c r="TAZ107" s="68"/>
      <c r="TBA107" s="1"/>
      <c r="TBB107" s="73"/>
      <c r="TBC107" s="74"/>
      <c r="TBE107" s="75"/>
      <c r="TBH107" s="75"/>
      <c r="TBI107" s="72"/>
      <c r="TBJ107" s="68"/>
      <c r="TBK107" s="1"/>
      <c r="TBL107" s="73"/>
      <c r="TBM107" s="74"/>
      <c r="TBO107" s="75"/>
      <c r="TBR107" s="75"/>
      <c r="TBS107" s="72"/>
      <c r="TBT107" s="68"/>
      <c r="TBU107" s="1"/>
      <c r="TBV107" s="73"/>
      <c r="TBW107" s="74"/>
      <c r="TBY107" s="75"/>
      <c r="TCB107" s="75"/>
      <c r="TCC107" s="72"/>
      <c r="TCD107" s="68"/>
      <c r="TCE107" s="1"/>
      <c r="TCF107" s="73"/>
      <c r="TCG107" s="74"/>
      <c r="TCI107" s="75"/>
      <c r="TCL107" s="75"/>
      <c r="TCM107" s="72"/>
      <c r="TCN107" s="68"/>
      <c r="TCO107" s="1"/>
      <c r="TCP107" s="73"/>
      <c r="TCQ107" s="74"/>
      <c r="TCS107" s="75"/>
      <c r="TCV107" s="75"/>
      <c r="TCW107" s="72"/>
      <c r="TCX107" s="68"/>
      <c r="TCY107" s="1"/>
      <c r="TCZ107" s="73"/>
      <c r="TDA107" s="74"/>
      <c r="TDC107" s="75"/>
      <c r="TDF107" s="75"/>
      <c r="TDG107" s="72"/>
      <c r="TDH107" s="68"/>
      <c r="TDI107" s="1"/>
      <c r="TDJ107" s="73"/>
      <c r="TDK107" s="74"/>
      <c r="TDM107" s="75"/>
      <c r="TDP107" s="75"/>
      <c r="TDQ107" s="72"/>
      <c r="TDR107" s="68"/>
      <c r="TDS107" s="1"/>
      <c r="TDT107" s="73"/>
      <c r="TDU107" s="74"/>
      <c r="TDW107" s="75"/>
      <c r="TDZ107" s="75"/>
      <c r="TEA107" s="72"/>
      <c r="TEB107" s="68"/>
      <c r="TEC107" s="1"/>
      <c r="TED107" s="73"/>
      <c r="TEE107" s="74"/>
      <c r="TEG107" s="75"/>
      <c r="TEJ107" s="75"/>
      <c r="TEK107" s="72"/>
      <c r="TEL107" s="68"/>
      <c r="TEM107" s="1"/>
      <c r="TEN107" s="73"/>
      <c r="TEO107" s="74"/>
      <c r="TEQ107" s="75"/>
      <c r="TET107" s="75"/>
      <c r="TEU107" s="72"/>
      <c r="TEV107" s="68"/>
      <c r="TEW107" s="1"/>
      <c r="TEX107" s="73"/>
      <c r="TEY107" s="74"/>
      <c r="TFA107" s="75"/>
      <c r="TFD107" s="75"/>
      <c r="TFE107" s="72"/>
      <c r="TFF107" s="68"/>
      <c r="TFG107" s="1"/>
      <c r="TFH107" s="73"/>
      <c r="TFI107" s="74"/>
      <c r="TFK107" s="75"/>
      <c r="TFN107" s="75"/>
      <c r="TFO107" s="72"/>
      <c r="TFP107" s="68"/>
      <c r="TFQ107" s="1"/>
      <c r="TFR107" s="73"/>
      <c r="TFS107" s="74"/>
      <c r="TFU107" s="75"/>
      <c r="TFX107" s="75"/>
      <c r="TFY107" s="72"/>
      <c r="TFZ107" s="68"/>
      <c r="TGA107" s="1"/>
      <c r="TGB107" s="73"/>
      <c r="TGC107" s="74"/>
      <c r="TGE107" s="75"/>
      <c r="TGH107" s="75"/>
      <c r="TGI107" s="72"/>
      <c r="TGJ107" s="68"/>
      <c r="TGK107" s="1"/>
      <c r="TGL107" s="73"/>
      <c r="TGM107" s="74"/>
      <c r="TGO107" s="75"/>
      <c r="TGR107" s="75"/>
      <c r="TGS107" s="72"/>
      <c r="TGT107" s="68"/>
      <c r="TGU107" s="1"/>
      <c r="TGV107" s="73"/>
      <c r="TGW107" s="74"/>
      <c r="TGY107" s="75"/>
      <c r="THB107" s="75"/>
      <c r="THC107" s="72"/>
      <c r="THD107" s="68"/>
      <c r="THE107" s="1"/>
      <c r="THF107" s="73"/>
      <c r="THG107" s="74"/>
      <c r="THI107" s="75"/>
      <c r="THL107" s="75"/>
      <c r="THM107" s="72"/>
      <c r="THN107" s="68"/>
      <c r="THO107" s="1"/>
      <c r="THP107" s="73"/>
      <c r="THQ107" s="74"/>
      <c r="THS107" s="75"/>
      <c r="THV107" s="75"/>
      <c r="THW107" s="72"/>
      <c r="THX107" s="68"/>
      <c r="THY107" s="1"/>
      <c r="THZ107" s="73"/>
      <c r="TIA107" s="74"/>
      <c r="TIC107" s="75"/>
      <c r="TIF107" s="75"/>
      <c r="TIG107" s="72"/>
      <c r="TIH107" s="68"/>
      <c r="TII107" s="1"/>
      <c r="TIJ107" s="73"/>
      <c r="TIK107" s="74"/>
      <c r="TIM107" s="75"/>
      <c r="TIP107" s="75"/>
      <c r="TIQ107" s="72"/>
      <c r="TIR107" s="68"/>
      <c r="TIS107" s="1"/>
      <c r="TIT107" s="73"/>
      <c r="TIU107" s="74"/>
      <c r="TIW107" s="75"/>
      <c r="TIZ107" s="75"/>
      <c r="TJA107" s="72"/>
      <c r="TJB107" s="68"/>
      <c r="TJC107" s="1"/>
      <c r="TJD107" s="73"/>
      <c r="TJE107" s="74"/>
      <c r="TJG107" s="75"/>
      <c r="TJJ107" s="75"/>
      <c r="TJK107" s="72"/>
      <c r="TJL107" s="68"/>
      <c r="TJM107" s="1"/>
      <c r="TJN107" s="73"/>
      <c r="TJO107" s="74"/>
      <c r="TJQ107" s="75"/>
      <c r="TJT107" s="75"/>
      <c r="TJU107" s="72"/>
      <c r="TJV107" s="68"/>
      <c r="TJW107" s="1"/>
      <c r="TJX107" s="73"/>
      <c r="TJY107" s="74"/>
      <c r="TKA107" s="75"/>
      <c r="TKD107" s="75"/>
      <c r="TKE107" s="72"/>
      <c r="TKF107" s="68"/>
      <c r="TKG107" s="1"/>
      <c r="TKH107" s="73"/>
      <c r="TKI107" s="74"/>
      <c r="TKK107" s="75"/>
      <c r="TKN107" s="75"/>
      <c r="TKO107" s="72"/>
      <c r="TKP107" s="68"/>
      <c r="TKQ107" s="1"/>
      <c r="TKR107" s="73"/>
      <c r="TKS107" s="74"/>
      <c r="TKU107" s="75"/>
      <c r="TKX107" s="75"/>
      <c r="TKY107" s="72"/>
      <c r="TKZ107" s="68"/>
      <c r="TLA107" s="1"/>
      <c r="TLB107" s="73"/>
      <c r="TLC107" s="74"/>
      <c r="TLE107" s="75"/>
      <c r="TLH107" s="75"/>
      <c r="TLI107" s="72"/>
      <c r="TLJ107" s="68"/>
      <c r="TLK107" s="1"/>
      <c r="TLL107" s="73"/>
      <c r="TLM107" s="74"/>
      <c r="TLO107" s="75"/>
      <c r="TLR107" s="75"/>
      <c r="TLS107" s="72"/>
      <c r="TLT107" s="68"/>
      <c r="TLU107" s="1"/>
      <c r="TLV107" s="73"/>
      <c r="TLW107" s="74"/>
      <c r="TLY107" s="75"/>
      <c r="TMB107" s="75"/>
      <c r="TMC107" s="72"/>
      <c r="TMD107" s="68"/>
      <c r="TME107" s="1"/>
      <c r="TMF107" s="73"/>
      <c r="TMG107" s="74"/>
      <c r="TMI107" s="75"/>
      <c r="TML107" s="75"/>
      <c r="TMM107" s="72"/>
      <c r="TMN107" s="68"/>
      <c r="TMO107" s="1"/>
      <c r="TMP107" s="73"/>
      <c r="TMQ107" s="74"/>
      <c r="TMS107" s="75"/>
      <c r="TMV107" s="75"/>
      <c r="TMW107" s="72"/>
      <c r="TMX107" s="68"/>
      <c r="TMY107" s="1"/>
      <c r="TMZ107" s="73"/>
      <c r="TNA107" s="74"/>
      <c r="TNC107" s="75"/>
      <c r="TNF107" s="75"/>
      <c r="TNG107" s="72"/>
      <c r="TNH107" s="68"/>
      <c r="TNI107" s="1"/>
      <c r="TNJ107" s="73"/>
      <c r="TNK107" s="74"/>
      <c r="TNM107" s="75"/>
      <c r="TNP107" s="75"/>
      <c r="TNQ107" s="72"/>
      <c r="TNR107" s="68"/>
      <c r="TNS107" s="1"/>
      <c r="TNT107" s="73"/>
      <c r="TNU107" s="74"/>
      <c r="TNW107" s="75"/>
      <c r="TNZ107" s="75"/>
      <c r="TOA107" s="72"/>
      <c r="TOB107" s="68"/>
      <c r="TOC107" s="1"/>
      <c r="TOD107" s="73"/>
      <c r="TOE107" s="74"/>
      <c r="TOG107" s="75"/>
      <c r="TOJ107" s="75"/>
      <c r="TOK107" s="72"/>
      <c r="TOL107" s="68"/>
      <c r="TOM107" s="1"/>
      <c r="TON107" s="73"/>
      <c r="TOO107" s="74"/>
      <c r="TOQ107" s="75"/>
      <c r="TOT107" s="75"/>
      <c r="TOU107" s="72"/>
      <c r="TOV107" s="68"/>
      <c r="TOW107" s="1"/>
      <c r="TOX107" s="73"/>
      <c r="TOY107" s="74"/>
      <c r="TPA107" s="75"/>
      <c r="TPD107" s="75"/>
      <c r="TPE107" s="72"/>
      <c r="TPF107" s="68"/>
      <c r="TPG107" s="1"/>
      <c r="TPH107" s="73"/>
      <c r="TPI107" s="74"/>
      <c r="TPK107" s="75"/>
      <c r="TPN107" s="75"/>
      <c r="TPO107" s="72"/>
      <c r="TPP107" s="68"/>
      <c r="TPQ107" s="1"/>
      <c r="TPR107" s="73"/>
      <c r="TPS107" s="74"/>
      <c r="TPU107" s="75"/>
      <c r="TPX107" s="75"/>
      <c r="TPY107" s="72"/>
      <c r="TPZ107" s="68"/>
      <c r="TQA107" s="1"/>
      <c r="TQB107" s="73"/>
      <c r="TQC107" s="74"/>
      <c r="TQE107" s="75"/>
      <c r="TQH107" s="75"/>
      <c r="TQI107" s="72"/>
      <c r="TQJ107" s="68"/>
      <c r="TQK107" s="1"/>
      <c r="TQL107" s="73"/>
      <c r="TQM107" s="74"/>
      <c r="TQO107" s="75"/>
      <c r="TQR107" s="75"/>
      <c r="TQS107" s="72"/>
      <c r="TQT107" s="68"/>
      <c r="TQU107" s="1"/>
      <c r="TQV107" s="73"/>
      <c r="TQW107" s="74"/>
      <c r="TQY107" s="75"/>
      <c r="TRB107" s="75"/>
      <c r="TRC107" s="72"/>
      <c r="TRD107" s="68"/>
      <c r="TRE107" s="1"/>
      <c r="TRF107" s="73"/>
      <c r="TRG107" s="74"/>
      <c r="TRI107" s="75"/>
      <c r="TRL107" s="75"/>
      <c r="TRM107" s="72"/>
      <c r="TRN107" s="68"/>
      <c r="TRO107" s="1"/>
      <c r="TRP107" s="73"/>
      <c r="TRQ107" s="74"/>
      <c r="TRS107" s="75"/>
      <c r="TRV107" s="75"/>
      <c r="TRW107" s="72"/>
      <c r="TRX107" s="68"/>
      <c r="TRY107" s="1"/>
      <c r="TRZ107" s="73"/>
      <c r="TSA107" s="74"/>
      <c r="TSC107" s="75"/>
      <c r="TSF107" s="75"/>
      <c r="TSG107" s="72"/>
      <c r="TSH107" s="68"/>
      <c r="TSI107" s="1"/>
      <c r="TSJ107" s="73"/>
      <c r="TSK107" s="74"/>
      <c r="TSM107" s="75"/>
      <c r="TSP107" s="75"/>
      <c r="TSQ107" s="72"/>
      <c r="TSR107" s="68"/>
      <c r="TSS107" s="1"/>
      <c r="TST107" s="73"/>
      <c r="TSU107" s="74"/>
      <c r="TSW107" s="75"/>
      <c r="TSZ107" s="75"/>
      <c r="TTA107" s="72"/>
      <c r="TTB107" s="68"/>
      <c r="TTC107" s="1"/>
      <c r="TTD107" s="73"/>
      <c r="TTE107" s="74"/>
      <c r="TTG107" s="75"/>
      <c r="TTJ107" s="75"/>
      <c r="TTK107" s="72"/>
      <c r="TTL107" s="68"/>
      <c r="TTM107" s="1"/>
      <c r="TTN107" s="73"/>
      <c r="TTO107" s="74"/>
      <c r="TTQ107" s="75"/>
      <c r="TTT107" s="75"/>
      <c r="TTU107" s="72"/>
      <c r="TTV107" s="68"/>
      <c r="TTW107" s="1"/>
      <c r="TTX107" s="73"/>
      <c r="TTY107" s="74"/>
      <c r="TUA107" s="75"/>
      <c r="TUD107" s="75"/>
      <c r="TUE107" s="72"/>
      <c r="TUF107" s="68"/>
      <c r="TUG107" s="1"/>
      <c r="TUH107" s="73"/>
      <c r="TUI107" s="74"/>
      <c r="TUK107" s="75"/>
      <c r="TUN107" s="75"/>
      <c r="TUO107" s="72"/>
      <c r="TUP107" s="68"/>
      <c r="TUQ107" s="1"/>
      <c r="TUR107" s="73"/>
      <c r="TUS107" s="74"/>
      <c r="TUU107" s="75"/>
      <c r="TUX107" s="75"/>
      <c r="TUY107" s="72"/>
      <c r="TUZ107" s="68"/>
      <c r="TVA107" s="1"/>
      <c r="TVB107" s="73"/>
      <c r="TVC107" s="74"/>
      <c r="TVE107" s="75"/>
      <c r="TVH107" s="75"/>
      <c r="TVI107" s="72"/>
      <c r="TVJ107" s="68"/>
      <c r="TVK107" s="1"/>
      <c r="TVL107" s="73"/>
      <c r="TVM107" s="74"/>
      <c r="TVO107" s="75"/>
      <c r="TVR107" s="75"/>
      <c r="TVS107" s="72"/>
      <c r="TVT107" s="68"/>
      <c r="TVU107" s="1"/>
      <c r="TVV107" s="73"/>
      <c r="TVW107" s="74"/>
      <c r="TVY107" s="75"/>
      <c r="TWB107" s="75"/>
      <c r="TWC107" s="72"/>
      <c r="TWD107" s="68"/>
      <c r="TWE107" s="1"/>
      <c r="TWF107" s="73"/>
      <c r="TWG107" s="74"/>
      <c r="TWI107" s="75"/>
      <c r="TWL107" s="75"/>
      <c r="TWM107" s="72"/>
      <c r="TWN107" s="68"/>
      <c r="TWO107" s="1"/>
      <c r="TWP107" s="73"/>
      <c r="TWQ107" s="74"/>
      <c r="TWS107" s="75"/>
      <c r="TWV107" s="75"/>
      <c r="TWW107" s="72"/>
      <c r="TWX107" s="68"/>
      <c r="TWY107" s="1"/>
      <c r="TWZ107" s="73"/>
      <c r="TXA107" s="74"/>
      <c r="TXC107" s="75"/>
      <c r="TXF107" s="75"/>
      <c r="TXG107" s="72"/>
      <c r="TXH107" s="68"/>
      <c r="TXI107" s="1"/>
      <c r="TXJ107" s="73"/>
      <c r="TXK107" s="74"/>
      <c r="TXM107" s="75"/>
      <c r="TXP107" s="75"/>
      <c r="TXQ107" s="72"/>
      <c r="TXR107" s="68"/>
      <c r="TXS107" s="1"/>
      <c r="TXT107" s="73"/>
      <c r="TXU107" s="74"/>
      <c r="TXW107" s="75"/>
      <c r="TXZ107" s="75"/>
      <c r="TYA107" s="72"/>
      <c r="TYB107" s="68"/>
      <c r="TYC107" s="1"/>
      <c r="TYD107" s="73"/>
      <c r="TYE107" s="74"/>
      <c r="TYG107" s="75"/>
      <c r="TYJ107" s="75"/>
      <c r="TYK107" s="72"/>
      <c r="TYL107" s="68"/>
      <c r="TYM107" s="1"/>
      <c r="TYN107" s="73"/>
      <c r="TYO107" s="74"/>
      <c r="TYQ107" s="75"/>
      <c r="TYT107" s="75"/>
      <c r="TYU107" s="72"/>
      <c r="TYV107" s="68"/>
      <c r="TYW107" s="1"/>
      <c r="TYX107" s="73"/>
      <c r="TYY107" s="74"/>
      <c r="TZA107" s="75"/>
      <c r="TZD107" s="75"/>
      <c r="TZE107" s="72"/>
      <c r="TZF107" s="68"/>
      <c r="TZG107" s="1"/>
      <c r="TZH107" s="73"/>
      <c r="TZI107" s="74"/>
      <c r="TZK107" s="75"/>
      <c r="TZN107" s="75"/>
      <c r="TZO107" s="72"/>
      <c r="TZP107" s="68"/>
      <c r="TZQ107" s="1"/>
      <c r="TZR107" s="73"/>
      <c r="TZS107" s="74"/>
      <c r="TZU107" s="75"/>
      <c r="TZX107" s="75"/>
      <c r="TZY107" s="72"/>
      <c r="TZZ107" s="68"/>
      <c r="UAA107" s="1"/>
      <c r="UAB107" s="73"/>
      <c r="UAC107" s="74"/>
      <c r="UAE107" s="75"/>
      <c r="UAH107" s="75"/>
      <c r="UAI107" s="72"/>
      <c r="UAJ107" s="68"/>
      <c r="UAK107" s="1"/>
      <c r="UAL107" s="73"/>
      <c r="UAM107" s="74"/>
      <c r="UAO107" s="75"/>
      <c r="UAR107" s="75"/>
      <c r="UAS107" s="72"/>
      <c r="UAT107" s="68"/>
      <c r="UAU107" s="1"/>
      <c r="UAV107" s="73"/>
      <c r="UAW107" s="74"/>
      <c r="UAY107" s="75"/>
      <c r="UBB107" s="75"/>
      <c r="UBC107" s="72"/>
      <c r="UBD107" s="68"/>
      <c r="UBE107" s="1"/>
      <c r="UBF107" s="73"/>
      <c r="UBG107" s="74"/>
      <c r="UBI107" s="75"/>
      <c r="UBL107" s="75"/>
      <c r="UBM107" s="72"/>
      <c r="UBN107" s="68"/>
      <c r="UBO107" s="1"/>
      <c r="UBP107" s="73"/>
      <c r="UBQ107" s="74"/>
      <c r="UBS107" s="75"/>
      <c r="UBV107" s="75"/>
      <c r="UBW107" s="72"/>
      <c r="UBX107" s="68"/>
      <c r="UBY107" s="1"/>
      <c r="UBZ107" s="73"/>
      <c r="UCA107" s="74"/>
      <c r="UCC107" s="75"/>
      <c r="UCF107" s="75"/>
      <c r="UCG107" s="72"/>
      <c r="UCH107" s="68"/>
      <c r="UCI107" s="1"/>
      <c r="UCJ107" s="73"/>
      <c r="UCK107" s="74"/>
      <c r="UCM107" s="75"/>
      <c r="UCP107" s="75"/>
      <c r="UCQ107" s="72"/>
      <c r="UCR107" s="68"/>
      <c r="UCS107" s="1"/>
      <c r="UCT107" s="73"/>
      <c r="UCU107" s="74"/>
      <c r="UCW107" s="75"/>
      <c r="UCZ107" s="75"/>
      <c r="UDA107" s="72"/>
      <c r="UDB107" s="68"/>
      <c r="UDC107" s="1"/>
      <c r="UDD107" s="73"/>
      <c r="UDE107" s="74"/>
      <c r="UDG107" s="75"/>
      <c r="UDJ107" s="75"/>
      <c r="UDK107" s="72"/>
      <c r="UDL107" s="68"/>
      <c r="UDM107" s="1"/>
      <c r="UDN107" s="73"/>
      <c r="UDO107" s="74"/>
      <c r="UDQ107" s="75"/>
      <c r="UDT107" s="75"/>
      <c r="UDU107" s="72"/>
      <c r="UDV107" s="68"/>
      <c r="UDW107" s="1"/>
      <c r="UDX107" s="73"/>
      <c r="UDY107" s="74"/>
      <c r="UEA107" s="75"/>
      <c r="UED107" s="75"/>
      <c r="UEE107" s="72"/>
      <c r="UEF107" s="68"/>
      <c r="UEG107" s="1"/>
      <c r="UEH107" s="73"/>
      <c r="UEI107" s="74"/>
      <c r="UEK107" s="75"/>
      <c r="UEN107" s="75"/>
      <c r="UEO107" s="72"/>
      <c r="UEP107" s="68"/>
      <c r="UEQ107" s="1"/>
      <c r="UER107" s="73"/>
      <c r="UES107" s="74"/>
      <c r="UEU107" s="75"/>
      <c r="UEX107" s="75"/>
      <c r="UEY107" s="72"/>
      <c r="UEZ107" s="68"/>
      <c r="UFA107" s="1"/>
      <c r="UFB107" s="73"/>
      <c r="UFC107" s="74"/>
      <c r="UFE107" s="75"/>
      <c r="UFH107" s="75"/>
      <c r="UFI107" s="72"/>
      <c r="UFJ107" s="68"/>
      <c r="UFK107" s="1"/>
      <c r="UFL107" s="73"/>
      <c r="UFM107" s="74"/>
      <c r="UFO107" s="75"/>
      <c r="UFR107" s="75"/>
      <c r="UFS107" s="72"/>
      <c r="UFT107" s="68"/>
      <c r="UFU107" s="1"/>
      <c r="UFV107" s="73"/>
      <c r="UFW107" s="74"/>
      <c r="UFY107" s="75"/>
      <c r="UGB107" s="75"/>
      <c r="UGC107" s="72"/>
      <c r="UGD107" s="68"/>
      <c r="UGE107" s="1"/>
      <c r="UGF107" s="73"/>
      <c r="UGG107" s="74"/>
      <c r="UGI107" s="75"/>
      <c r="UGL107" s="75"/>
      <c r="UGM107" s="72"/>
      <c r="UGN107" s="68"/>
      <c r="UGO107" s="1"/>
      <c r="UGP107" s="73"/>
      <c r="UGQ107" s="74"/>
      <c r="UGS107" s="75"/>
      <c r="UGV107" s="75"/>
      <c r="UGW107" s="72"/>
      <c r="UGX107" s="68"/>
      <c r="UGY107" s="1"/>
      <c r="UGZ107" s="73"/>
      <c r="UHA107" s="74"/>
      <c r="UHC107" s="75"/>
      <c r="UHF107" s="75"/>
      <c r="UHG107" s="72"/>
      <c r="UHH107" s="68"/>
      <c r="UHI107" s="1"/>
      <c r="UHJ107" s="73"/>
      <c r="UHK107" s="74"/>
      <c r="UHM107" s="75"/>
      <c r="UHP107" s="75"/>
      <c r="UHQ107" s="72"/>
      <c r="UHR107" s="68"/>
      <c r="UHS107" s="1"/>
      <c r="UHT107" s="73"/>
      <c r="UHU107" s="74"/>
      <c r="UHW107" s="75"/>
      <c r="UHZ107" s="75"/>
      <c r="UIA107" s="72"/>
      <c r="UIB107" s="68"/>
      <c r="UIC107" s="1"/>
      <c r="UID107" s="73"/>
      <c r="UIE107" s="74"/>
      <c r="UIG107" s="75"/>
      <c r="UIJ107" s="75"/>
      <c r="UIK107" s="72"/>
      <c r="UIL107" s="68"/>
      <c r="UIM107" s="1"/>
      <c r="UIN107" s="73"/>
      <c r="UIO107" s="74"/>
      <c r="UIQ107" s="75"/>
      <c r="UIT107" s="75"/>
      <c r="UIU107" s="72"/>
      <c r="UIV107" s="68"/>
      <c r="UIW107" s="1"/>
      <c r="UIX107" s="73"/>
      <c r="UIY107" s="74"/>
      <c r="UJA107" s="75"/>
      <c r="UJD107" s="75"/>
      <c r="UJE107" s="72"/>
      <c r="UJF107" s="68"/>
      <c r="UJG107" s="1"/>
      <c r="UJH107" s="73"/>
      <c r="UJI107" s="74"/>
      <c r="UJK107" s="75"/>
      <c r="UJN107" s="75"/>
      <c r="UJO107" s="72"/>
      <c r="UJP107" s="68"/>
      <c r="UJQ107" s="1"/>
      <c r="UJR107" s="73"/>
      <c r="UJS107" s="74"/>
      <c r="UJU107" s="75"/>
      <c r="UJX107" s="75"/>
      <c r="UJY107" s="72"/>
      <c r="UJZ107" s="68"/>
      <c r="UKA107" s="1"/>
      <c r="UKB107" s="73"/>
      <c r="UKC107" s="74"/>
      <c r="UKE107" s="75"/>
      <c r="UKH107" s="75"/>
      <c r="UKI107" s="72"/>
      <c r="UKJ107" s="68"/>
      <c r="UKK107" s="1"/>
      <c r="UKL107" s="73"/>
      <c r="UKM107" s="74"/>
      <c r="UKO107" s="75"/>
      <c r="UKR107" s="75"/>
      <c r="UKS107" s="72"/>
      <c r="UKT107" s="68"/>
      <c r="UKU107" s="1"/>
      <c r="UKV107" s="73"/>
      <c r="UKW107" s="74"/>
      <c r="UKY107" s="75"/>
      <c r="ULB107" s="75"/>
      <c r="ULC107" s="72"/>
      <c r="ULD107" s="68"/>
      <c r="ULE107" s="1"/>
      <c r="ULF107" s="73"/>
      <c r="ULG107" s="74"/>
      <c r="ULI107" s="75"/>
      <c r="ULL107" s="75"/>
      <c r="ULM107" s="72"/>
      <c r="ULN107" s="68"/>
      <c r="ULO107" s="1"/>
      <c r="ULP107" s="73"/>
      <c r="ULQ107" s="74"/>
      <c r="ULS107" s="75"/>
      <c r="ULV107" s="75"/>
      <c r="ULW107" s="72"/>
      <c r="ULX107" s="68"/>
      <c r="ULY107" s="1"/>
      <c r="ULZ107" s="73"/>
      <c r="UMA107" s="74"/>
      <c r="UMC107" s="75"/>
      <c r="UMF107" s="75"/>
      <c r="UMG107" s="72"/>
      <c r="UMH107" s="68"/>
      <c r="UMI107" s="1"/>
      <c r="UMJ107" s="73"/>
      <c r="UMK107" s="74"/>
      <c r="UMM107" s="75"/>
      <c r="UMP107" s="75"/>
      <c r="UMQ107" s="72"/>
      <c r="UMR107" s="68"/>
      <c r="UMS107" s="1"/>
      <c r="UMT107" s="73"/>
      <c r="UMU107" s="74"/>
      <c r="UMW107" s="75"/>
      <c r="UMZ107" s="75"/>
      <c r="UNA107" s="72"/>
      <c r="UNB107" s="68"/>
      <c r="UNC107" s="1"/>
      <c r="UND107" s="73"/>
      <c r="UNE107" s="74"/>
      <c r="UNG107" s="75"/>
      <c r="UNJ107" s="75"/>
      <c r="UNK107" s="72"/>
      <c r="UNL107" s="68"/>
      <c r="UNM107" s="1"/>
      <c r="UNN107" s="73"/>
      <c r="UNO107" s="74"/>
      <c r="UNQ107" s="75"/>
      <c r="UNT107" s="75"/>
      <c r="UNU107" s="72"/>
      <c r="UNV107" s="68"/>
      <c r="UNW107" s="1"/>
      <c r="UNX107" s="73"/>
      <c r="UNY107" s="74"/>
      <c r="UOA107" s="75"/>
      <c r="UOD107" s="75"/>
      <c r="UOE107" s="72"/>
      <c r="UOF107" s="68"/>
      <c r="UOG107" s="1"/>
      <c r="UOH107" s="73"/>
      <c r="UOI107" s="74"/>
      <c r="UOK107" s="75"/>
      <c r="UON107" s="75"/>
      <c r="UOO107" s="72"/>
      <c r="UOP107" s="68"/>
      <c r="UOQ107" s="1"/>
      <c r="UOR107" s="73"/>
      <c r="UOS107" s="74"/>
      <c r="UOU107" s="75"/>
      <c r="UOX107" s="75"/>
      <c r="UOY107" s="72"/>
      <c r="UOZ107" s="68"/>
      <c r="UPA107" s="1"/>
      <c r="UPB107" s="73"/>
      <c r="UPC107" s="74"/>
      <c r="UPE107" s="75"/>
      <c r="UPH107" s="75"/>
      <c r="UPI107" s="72"/>
      <c r="UPJ107" s="68"/>
      <c r="UPK107" s="1"/>
      <c r="UPL107" s="73"/>
      <c r="UPM107" s="74"/>
      <c r="UPO107" s="75"/>
      <c r="UPR107" s="75"/>
      <c r="UPS107" s="72"/>
      <c r="UPT107" s="68"/>
      <c r="UPU107" s="1"/>
      <c r="UPV107" s="73"/>
      <c r="UPW107" s="74"/>
      <c r="UPY107" s="75"/>
      <c r="UQB107" s="75"/>
      <c r="UQC107" s="72"/>
      <c r="UQD107" s="68"/>
      <c r="UQE107" s="1"/>
      <c r="UQF107" s="73"/>
      <c r="UQG107" s="74"/>
      <c r="UQI107" s="75"/>
      <c r="UQL107" s="75"/>
      <c r="UQM107" s="72"/>
      <c r="UQN107" s="68"/>
      <c r="UQO107" s="1"/>
      <c r="UQP107" s="73"/>
      <c r="UQQ107" s="74"/>
      <c r="UQS107" s="75"/>
      <c r="UQV107" s="75"/>
      <c r="UQW107" s="72"/>
      <c r="UQX107" s="68"/>
      <c r="UQY107" s="1"/>
      <c r="UQZ107" s="73"/>
      <c r="URA107" s="74"/>
      <c r="URC107" s="75"/>
      <c r="URF107" s="75"/>
      <c r="URG107" s="72"/>
      <c r="URH107" s="68"/>
      <c r="URI107" s="1"/>
      <c r="URJ107" s="73"/>
      <c r="URK107" s="74"/>
      <c r="URM107" s="75"/>
      <c r="URP107" s="75"/>
      <c r="URQ107" s="72"/>
      <c r="URR107" s="68"/>
      <c r="URS107" s="1"/>
      <c r="URT107" s="73"/>
      <c r="URU107" s="74"/>
      <c r="URW107" s="75"/>
      <c r="URZ107" s="75"/>
      <c r="USA107" s="72"/>
      <c r="USB107" s="68"/>
      <c r="USC107" s="1"/>
      <c r="USD107" s="73"/>
      <c r="USE107" s="74"/>
      <c r="USG107" s="75"/>
      <c r="USJ107" s="75"/>
      <c r="USK107" s="72"/>
      <c r="USL107" s="68"/>
      <c r="USM107" s="1"/>
      <c r="USN107" s="73"/>
      <c r="USO107" s="74"/>
      <c r="USQ107" s="75"/>
      <c r="UST107" s="75"/>
      <c r="USU107" s="72"/>
      <c r="USV107" s="68"/>
      <c r="USW107" s="1"/>
      <c r="USX107" s="73"/>
      <c r="USY107" s="74"/>
      <c r="UTA107" s="75"/>
      <c r="UTD107" s="75"/>
      <c r="UTE107" s="72"/>
      <c r="UTF107" s="68"/>
      <c r="UTG107" s="1"/>
      <c r="UTH107" s="73"/>
      <c r="UTI107" s="74"/>
      <c r="UTK107" s="75"/>
      <c r="UTN107" s="75"/>
      <c r="UTO107" s="72"/>
      <c r="UTP107" s="68"/>
      <c r="UTQ107" s="1"/>
      <c r="UTR107" s="73"/>
      <c r="UTS107" s="74"/>
      <c r="UTU107" s="75"/>
      <c r="UTX107" s="75"/>
      <c r="UTY107" s="72"/>
      <c r="UTZ107" s="68"/>
      <c r="UUA107" s="1"/>
      <c r="UUB107" s="73"/>
      <c r="UUC107" s="74"/>
      <c r="UUE107" s="75"/>
      <c r="UUH107" s="75"/>
      <c r="UUI107" s="72"/>
      <c r="UUJ107" s="68"/>
      <c r="UUK107" s="1"/>
      <c r="UUL107" s="73"/>
      <c r="UUM107" s="74"/>
      <c r="UUO107" s="75"/>
      <c r="UUR107" s="75"/>
      <c r="UUS107" s="72"/>
      <c r="UUT107" s="68"/>
      <c r="UUU107" s="1"/>
      <c r="UUV107" s="73"/>
      <c r="UUW107" s="74"/>
      <c r="UUY107" s="75"/>
      <c r="UVB107" s="75"/>
      <c r="UVC107" s="72"/>
      <c r="UVD107" s="68"/>
      <c r="UVE107" s="1"/>
      <c r="UVF107" s="73"/>
      <c r="UVG107" s="74"/>
      <c r="UVI107" s="75"/>
      <c r="UVL107" s="75"/>
      <c r="UVM107" s="72"/>
      <c r="UVN107" s="68"/>
      <c r="UVO107" s="1"/>
      <c r="UVP107" s="73"/>
      <c r="UVQ107" s="74"/>
      <c r="UVS107" s="75"/>
      <c r="UVV107" s="75"/>
      <c r="UVW107" s="72"/>
      <c r="UVX107" s="68"/>
      <c r="UVY107" s="1"/>
      <c r="UVZ107" s="73"/>
      <c r="UWA107" s="74"/>
      <c r="UWC107" s="75"/>
      <c r="UWF107" s="75"/>
      <c r="UWG107" s="72"/>
      <c r="UWH107" s="68"/>
      <c r="UWI107" s="1"/>
      <c r="UWJ107" s="73"/>
      <c r="UWK107" s="74"/>
      <c r="UWM107" s="75"/>
      <c r="UWP107" s="75"/>
      <c r="UWQ107" s="72"/>
      <c r="UWR107" s="68"/>
      <c r="UWS107" s="1"/>
      <c r="UWT107" s="73"/>
      <c r="UWU107" s="74"/>
      <c r="UWW107" s="75"/>
      <c r="UWZ107" s="75"/>
      <c r="UXA107" s="72"/>
      <c r="UXB107" s="68"/>
      <c r="UXC107" s="1"/>
      <c r="UXD107" s="73"/>
      <c r="UXE107" s="74"/>
      <c r="UXG107" s="75"/>
      <c r="UXJ107" s="75"/>
      <c r="UXK107" s="72"/>
      <c r="UXL107" s="68"/>
      <c r="UXM107" s="1"/>
      <c r="UXN107" s="73"/>
      <c r="UXO107" s="74"/>
      <c r="UXQ107" s="75"/>
      <c r="UXT107" s="75"/>
      <c r="UXU107" s="72"/>
      <c r="UXV107" s="68"/>
      <c r="UXW107" s="1"/>
      <c r="UXX107" s="73"/>
      <c r="UXY107" s="74"/>
      <c r="UYA107" s="75"/>
      <c r="UYD107" s="75"/>
      <c r="UYE107" s="72"/>
      <c r="UYF107" s="68"/>
      <c r="UYG107" s="1"/>
      <c r="UYH107" s="73"/>
      <c r="UYI107" s="74"/>
      <c r="UYK107" s="75"/>
      <c r="UYN107" s="75"/>
      <c r="UYO107" s="72"/>
      <c r="UYP107" s="68"/>
      <c r="UYQ107" s="1"/>
      <c r="UYR107" s="73"/>
      <c r="UYS107" s="74"/>
      <c r="UYU107" s="75"/>
      <c r="UYX107" s="75"/>
      <c r="UYY107" s="72"/>
      <c r="UYZ107" s="68"/>
      <c r="UZA107" s="1"/>
      <c r="UZB107" s="73"/>
      <c r="UZC107" s="74"/>
      <c r="UZE107" s="75"/>
      <c r="UZH107" s="75"/>
      <c r="UZI107" s="72"/>
      <c r="UZJ107" s="68"/>
      <c r="UZK107" s="1"/>
      <c r="UZL107" s="73"/>
      <c r="UZM107" s="74"/>
      <c r="UZO107" s="75"/>
      <c r="UZR107" s="75"/>
      <c r="UZS107" s="72"/>
      <c r="UZT107" s="68"/>
      <c r="UZU107" s="1"/>
      <c r="UZV107" s="73"/>
      <c r="UZW107" s="74"/>
      <c r="UZY107" s="75"/>
      <c r="VAB107" s="75"/>
      <c r="VAC107" s="72"/>
      <c r="VAD107" s="68"/>
      <c r="VAE107" s="1"/>
      <c r="VAF107" s="73"/>
      <c r="VAG107" s="74"/>
      <c r="VAI107" s="75"/>
      <c r="VAL107" s="75"/>
      <c r="VAM107" s="72"/>
      <c r="VAN107" s="68"/>
      <c r="VAO107" s="1"/>
      <c r="VAP107" s="73"/>
      <c r="VAQ107" s="74"/>
      <c r="VAS107" s="75"/>
      <c r="VAV107" s="75"/>
      <c r="VAW107" s="72"/>
      <c r="VAX107" s="68"/>
      <c r="VAY107" s="1"/>
      <c r="VAZ107" s="73"/>
      <c r="VBA107" s="74"/>
      <c r="VBC107" s="75"/>
      <c r="VBF107" s="75"/>
      <c r="VBG107" s="72"/>
      <c r="VBH107" s="68"/>
      <c r="VBI107" s="1"/>
      <c r="VBJ107" s="73"/>
      <c r="VBK107" s="74"/>
      <c r="VBM107" s="75"/>
      <c r="VBP107" s="75"/>
      <c r="VBQ107" s="72"/>
      <c r="VBR107" s="68"/>
      <c r="VBS107" s="1"/>
      <c r="VBT107" s="73"/>
      <c r="VBU107" s="74"/>
      <c r="VBW107" s="75"/>
      <c r="VBZ107" s="75"/>
      <c r="VCA107" s="72"/>
      <c r="VCB107" s="68"/>
      <c r="VCC107" s="1"/>
      <c r="VCD107" s="73"/>
      <c r="VCE107" s="74"/>
      <c r="VCG107" s="75"/>
      <c r="VCJ107" s="75"/>
      <c r="VCK107" s="72"/>
      <c r="VCL107" s="68"/>
      <c r="VCM107" s="1"/>
      <c r="VCN107" s="73"/>
      <c r="VCO107" s="74"/>
      <c r="VCQ107" s="75"/>
      <c r="VCT107" s="75"/>
      <c r="VCU107" s="72"/>
      <c r="VCV107" s="68"/>
      <c r="VCW107" s="1"/>
      <c r="VCX107" s="73"/>
      <c r="VCY107" s="74"/>
      <c r="VDA107" s="75"/>
      <c r="VDD107" s="75"/>
      <c r="VDE107" s="72"/>
      <c r="VDF107" s="68"/>
      <c r="VDG107" s="1"/>
      <c r="VDH107" s="73"/>
      <c r="VDI107" s="74"/>
      <c r="VDK107" s="75"/>
      <c r="VDN107" s="75"/>
      <c r="VDO107" s="72"/>
      <c r="VDP107" s="68"/>
      <c r="VDQ107" s="1"/>
      <c r="VDR107" s="73"/>
      <c r="VDS107" s="74"/>
      <c r="VDU107" s="75"/>
      <c r="VDX107" s="75"/>
      <c r="VDY107" s="72"/>
      <c r="VDZ107" s="68"/>
      <c r="VEA107" s="1"/>
      <c r="VEB107" s="73"/>
      <c r="VEC107" s="74"/>
      <c r="VEE107" s="75"/>
      <c r="VEH107" s="75"/>
      <c r="VEI107" s="72"/>
      <c r="VEJ107" s="68"/>
      <c r="VEK107" s="1"/>
      <c r="VEL107" s="73"/>
      <c r="VEM107" s="74"/>
      <c r="VEO107" s="75"/>
      <c r="VER107" s="75"/>
      <c r="VES107" s="72"/>
      <c r="VET107" s="68"/>
      <c r="VEU107" s="1"/>
      <c r="VEV107" s="73"/>
      <c r="VEW107" s="74"/>
      <c r="VEY107" s="75"/>
      <c r="VFB107" s="75"/>
      <c r="VFC107" s="72"/>
      <c r="VFD107" s="68"/>
      <c r="VFE107" s="1"/>
      <c r="VFF107" s="73"/>
      <c r="VFG107" s="74"/>
      <c r="VFI107" s="75"/>
      <c r="VFL107" s="75"/>
      <c r="VFM107" s="72"/>
      <c r="VFN107" s="68"/>
      <c r="VFO107" s="1"/>
      <c r="VFP107" s="73"/>
      <c r="VFQ107" s="74"/>
      <c r="VFS107" s="75"/>
      <c r="VFV107" s="75"/>
      <c r="VFW107" s="72"/>
      <c r="VFX107" s="68"/>
      <c r="VFY107" s="1"/>
      <c r="VFZ107" s="73"/>
      <c r="VGA107" s="74"/>
      <c r="VGC107" s="75"/>
      <c r="VGF107" s="75"/>
      <c r="VGG107" s="72"/>
      <c r="VGH107" s="68"/>
      <c r="VGI107" s="1"/>
      <c r="VGJ107" s="73"/>
      <c r="VGK107" s="74"/>
      <c r="VGM107" s="75"/>
      <c r="VGP107" s="75"/>
      <c r="VGQ107" s="72"/>
      <c r="VGR107" s="68"/>
      <c r="VGS107" s="1"/>
      <c r="VGT107" s="73"/>
      <c r="VGU107" s="74"/>
      <c r="VGW107" s="75"/>
      <c r="VGZ107" s="75"/>
      <c r="VHA107" s="72"/>
      <c r="VHB107" s="68"/>
      <c r="VHC107" s="1"/>
      <c r="VHD107" s="73"/>
      <c r="VHE107" s="74"/>
      <c r="VHG107" s="75"/>
      <c r="VHJ107" s="75"/>
      <c r="VHK107" s="72"/>
      <c r="VHL107" s="68"/>
      <c r="VHM107" s="1"/>
      <c r="VHN107" s="73"/>
      <c r="VHO107" s="74"/>
      <c r="VHQ107" s="75"/>
      <c r="VHT107" s="75"/>
      <c r="VHU107" s="72"/>
      <c r="VHV107" s="68"/>
      <c r="VHW107" s="1"/>
      <c r="VHX107" s="73"/>
      <c r="VHY107" s="74"/>
      <c r="VIA107" s="75"/>
      <c r="VID107" s="75"/>
      <c r="VIE107" s="72"/>
      <c r="VIF107" s="68"/>
      <c r="VIG107" s="1"/>
      <c r="VIH107" s="73"/>
      <c r="VII107" s="74"/>
      <c r="VIK107" s="75"/>
      <c r="VIN107" s="75"/>
      <c r="VIO107" s="72"/>
      <c r="VIP107" s="68"/>
      <c r="VIQ107" s="1"/>
      <c r="VIR107" s="73"/>
      <c r="VIS107" s="74"/>
      <c r="VIU107" s="75"/>
      <c r="VIX107" s="75"/>
      <c r="VIY107" s="72"/>
      <c r="VIZ107" s="68"/>
      <c r="VJA107" s="1"/>
      <c r="VJB107" s="73"/>
      <c r="VJC107" s="74"/>
      <c r="VJE107" s="75"/>
      <c r="VJH107" s="75"/>
      <c r="VJI107" s="72"/>
      <c r="VJJ107" s="68"/>
      <c r="VJK107" s="1"/>
      <c r="VJL107" s="73"/>
      <c r="VJM107" s="74"/>
      <c r="VJO107" s="75"/>
      <c r="VJR107" s="75"/>
      <c r="VJS107" s="72"/>
      <c r="VJT107" s="68"/>
      <c r="VJU107" s="1"/>
      <c r="VJV107" s="73"/>
      <c r="VJW107" s="74"/>
      <c r="VJY107" s="75"/>
      <c r="VKB107" s="75"/>
      <c r="VKC107" s="72"/>
      <c r="VKD107" s="68"/>
      <c r="VKE107" s="1"/>
      <c r="VKF107" s="73"/>
      <c r="VKG107" s="74"/>
      <c r="VKI107" s="75"/>
      <c r="VKL107" s="75"/>
      <c r="VKM107" s="72"/>
      <c r="VKN107" s="68"/>
      <c r="VKO107" s="1"/>
      <c r="VKP107" s="73"/>
      <c r="VKQ107" s="74"/>
      <c r="VKS107" s="75"/>
      <c r="VKV107" s="75"/>
      <c r="VKW107" s="72"/>
      <c r="VKX107" s="68"/>
      <c r="VKY107" s="1"/>
      <c r="VKZ107" s="73"/>
      <c r="VLA107" s="74"/>
      <c r="VLC107" s="75"/>
      <c r="VLF107" s="75"/>
      <c r="VLG107" s="72"/>
      <c r="VLH107" s="68"/>
      <c r="VLI107" s="1"/>
      <c r="VLJ107" s="73"/>
      <c r="VLK107" s="74"/>
      <c r="VLM107" s="75"/>
      <c r="VLP107" s="75"/>
      <c r="VLQ107" s="72"/>
      <c r="VLR107" s="68"/>
      <c r="VLS107" s="1"/>
      <c r="VLT107" s="73"/>
      <c r="VLU107" s="74"/>
      <c r="VLW107" s="75"/>
      <c r="VLZ107" s="75"/>
      <c r="VMA107" s="72"/>
      <c r="VMB107" s="68"/>
      <c r="VMC107" s="1"/>
      <c r="VMD107" s="73"/>
      <c r="VME107" s="74"/>
      <c r="VMG107" s="75"/>
      <c r="VMJ107" s="75"/>
      <c r="VMK107" s="72"/>
      <c r="VML107" s="68"/>
      <c r="VMM107" s="1"/>
      <c r="VMN107" s="73"/>
      <c r="VMO107" s="74"/>
      <c r="VMQ107" s="75"/>
      <c r="VMT107" s="75"/>
      <c r="VMU107" s="72"/>
      <c r="VMV107" s="68"/>
      <c r="VMW107" s="1"/>
      <c r="VMX107" s="73"/>
      <c r="VMY107" s="74"/>
      <c r="VNA107" s="75"/>
      <c r="VND107" s="75"/>
      <c r="VNE107" s="72"/>
      <c r="VNF107" s="68"/>
      <c r="VNG107" s="1"/>
      <c r="VNH107" s="73"/>
      <c r="VNI107" s="74"/>
      <c r="VNK107" s="75"/>
      <c r="VNN107" s="75"/>
      <c r="VNO107" s="72"/>
      <c r="VNP107" s="68"/>
      <c r="VNQ107" s="1"/>
      <c r="VNR107" s="73"/>
      <c r="VNS107" s="74"/>
      <c r="VNU107" s="75"/>
      <c r="VNX107" s="75"/>
      <c r="VNY107" s="72"/>
      <c r="VNZ107" s="68"/>
      <c r="VOA107" s="1"/>
      <c r="VOB107" s="73"/>
      <c r="VOC107" s="74"/>
      <c r="VOE107" s="75"/>
      <c r="VOH107" s="75"/>
      <c r="VOI107" s="72"/>
      <c r="VOJ107" s="68"/>
      <c r="VOK107" s="1"/>
      <c r="VOL107" s="73"/>
      <c r="VOM107" s="74"/>
      <c r="VOO107" s="75"/>
      <c r="VOR107" s="75"/>
      <c r="VOS107" s="72"/>
      <c r="VOT107" s="68"/>
      <c r="VOU107" s="1"/>
      <c r="VOV107" s="73"/>
      <c r="VOW107" s="74"/>
      <c r="VOY107" s="75"/>
      <c r="VPB107" s="75"/>
      <c r="VPC107" s="72"/>
      <c r="VPD107" s="68"/>
      <c r="VPE107" s="1"/>
      <c r="VPF107" s="73"/>
      <c r="VPG107" s="74"/>
      <c r="VPI107" s="75"/>
      <c r="VPL107" s="75"/>
      <c r="VPM107" s="72"/>
      <c r="VPN107" s="68"/>
      <c r="VPO107" s="1"/>
      <c r="VPP107" s="73"/>
      <c r="VPQ107" s="74"/>
      <c r="VPS107" s="75"/>
      <c r="VPV107" s="75"/>
      <c r="VPW107" s="72"/>
      <c r="VPX107" s="68"/>
      <c r="VPY107" s="1"/>
      <c r="VPZ107" s="73"/>
      <c r="VQA107" s="74"/>
      <c r="VQC107" s="75"/>
      <c r="VQF107" s="75"/>
      <c r="VQG107" s="72"/>
      <c r="VQH107" s="68"/>
      <c r="VQI107" s="1"/>
      <c r="VQJ107" s="73"/>
      <c r="VQK107" s="74"/>
      <c r="VQM107" s="75"/>
      <c r="VQP107" s="75"/>
      <c r="VQQ107" s="72"/>
      <c r="VQR107" s="68"/>
      <c r="VQS107" s="1"/>
      <c r="VQT107" s="73"/>
      <c r="VQU107" s="74"/>
      <c r="VQW107" s="75"/>
      <c r="VQZ107" s="75"/>
      <c r="VRA107" s="72"/>
      <c r="VRB107" s="68"/>
      <c r="VRC107" s="1"/>
      <c r="VRD107" s="73"/>
      <c r="VRE107" s="74"/>
      <c r="VRG107" s="75"/>
      <c r="VRJ107" s="75"/>
      <c r="VRK107" s="72"/>
      <c r="VRL107" s="68"/>
      <c r="VRM107" s="1"/>
      <c r="VRN107" s="73"/>
      <c r="VRO107" s="74"/>
      <c r="VRQ107" s="75"/>
      <c r="VRT107" s="75"/>
      <c r="VRU107" s="72"/>
      <c r="VRV107" s="68"/>
      <c r="VRW107" s="1"/>
      <c r="VRX107" s="73"/>
      <c r="VRY107" s="74"/>
      <c r="VSA107" s="75"/>
      <c r="VSD107" s="75"/>
      <c r="VSE107" s="72"/>
      <c r="VSF107" s="68"/>
      <c r="VSG107" s="1"/>
      <c r="VSH107" s="73"/>
      <c r="VSI107" s="74"/>
      <c r="VSK107" s="75"/>
      <c r="VSN107" s="75"/>
      <c r="VSO107" s="72"/>
      <c r="VSP107" s="68"/>
      <c r="VSQ107" s="1"/>
      <c r="VSR107" s="73"/>
      <c r="VSS107" s="74"/>
      <c r="VSU107" s="75"/>
      <c r="VSX107" s="75"/>
      <c r="VSY107" s="72"/>
      <c r="VSZ107" s="68"/>
      <c r="VTA107" s="1"/>
      <c r="VTB107" s="73"/>
      <c r="VTC107" s="74"/>
      <c r="VTE107" s="75"/>
      <c r="VTH107" s="75"/>
      <c r="VTI107" s="72"/>
      <c r="VTJ107" s="68"/>
      <c r="VTK107" s="1"/>
      <c r="VTL107" s="73"/>
      <c r="VTM107" s="74"/>
      <c r="VTO107" s="75"/>
      <c r="VTR107" s="75"/>
      <c r="VTS107" s="72"/>
      <c r="VTT107" s="68"/>
      <c r="VTU107" s="1"/>
      <c r="VTV107" s="73"/>
      <c r="VTW107" s="74"/>
      <c r="VTY107" s="75"/>
      <c r="VUB107" s="75"/>
      <c r="VUC107" s="72"/>
      <c r="VUD107" s="68"/>
      <c r="VUE107" s="1"/>
      <c r="VUF107" s="73"/>
      <c r="VUG107" s="74"/>
      <c r="VUI107" s="75"/>
      <c r="VUL107" s="75"/>
      <c r="VUM107" s="72"/>
      <c r="VUN107" s="68"/>
      <c r="VUO107" s="1"/>
      <c r="VUP107" s="73"/>
      <c r="VUQ107" s="74"/>
      <c r="VUS107" s="75"/>
      <c r="VUV107" s="75"/>
      <c r="VUW107" s="72"/>
      <c r="VUX107" s="68"/>
      <c r="VUY107" s="1"/>
      <c r="VUZ107" s="73"/>
      <c r="VVA107" s="74"/>
      <c r="VVC107" s="75"/>
      <c r="VVF107" s="75"/>
      <c r="VVG107" s="72"/>
      <c r="VVH107" s="68"/>
      <c r="VVI107" s="1"/>
      <c r="VVJ107" s="73"/>
      <c r="VVK107" s="74"/>
      <c r="VVM107" s="75"/>
      <c r="VVP107" s="75"/>
      <c r="VVQ107" s="72"/>
      <c r="VVR107" s="68"/>
      <c r="VVS107" s="1"/>
      <c r="VVT107" s="73"/>
      <c r="VVU107" s="74"/>
      <c r="VVW107" s="75"/>
      <c r="VVZ107" s="75"/>
      <c r="VWA107" s="72"/>
      <c r="VWB107" s="68"/>
      <c r="VWC107" s="1"/>
      <c r="VWD107" s="73"/>
      <c r="VWE107" s="74"/>
      <c r="VWG107" s="75"/>
      <c r="VWJ107" s="75"/>
      <c r="VWK107" s="72"/>
      <c r="VWL107" s="68"/>
      <c r="VWM107" s="1"/>
      <c r="VWN107" s="73"/>
      <c r="VWO107" s="74"/>
      <c r="VWQ107" s="75"/>
      <c r="VWT107" s="75"/>
      <c r="VWU107" s="72"/>
      <c r="VWV107" s="68"/>
      <c r="VWW107" s="1"/>
      <c r="VWX107" s="73"/>
      <c r="VWY107" s="74"/>
      <c r="VXA107" s="75"/>
      <c r="VXD107" s="75"/>
      <c r="VXE107" s="72"/>
      <c r="VXF107" s="68"/>
      <c r="VXG107" s="1"/>
      <c r="VXH107" s="73"/>
      <c r="VXI107" s="74"/>
      <c r="VXK107" s="75"/>
      <c r="VXN107" s="75"/>
      <c r="VXO107" s="72"/>
      <c r="VXP107" s="68"/>
      <c r="VXQ107" s="1"/>
      <c r="VXR107" s="73"/>
      <c r="VXS107" s="74"/>
      <c r="VXU107" s="75"/>
      <c r="VXX107" s="75"/>
      <c r="VXY107" s="72"/>
      <c r="VXZ107" s="68"/>
      <c r="VYA107" s="1"/>
      <c r="VYB107" s="73"/>
      <c r="VYC107" s="74"/>
      <c r="VYE107" s="75"/>
      <c r="VYH107" s="75"/>
      <c r="VYI107" s="72"/>
      <c r="VYJ107" s="68"/>
      <c r="VYK107" s="1"/>
      <c r="VYL107" s="73"/>
      <c r="VYM107" s="74"/>
      <c r="VYO107" s="75"/>
      <c r="VYR107" s="75"/>
      <c r="VYS107" s="72"/>
      <c r="VYT107" s="68"/>
      <c r="VYU107" s="1"/>
      <c r="VYV107" s="73"/>
      <c r="VYW107" s="74"/>
      <c r="VYY107" s="75"/>
      <c r="VZB107" s="75"/>
      <c r="VZC107" s="72"/>
      <c r="VZD107" s="68"/>
      <c r="VZE107" s="1"/>
      <c r="VZF107" s="73"/>
      <c r="VZG107" s="74"/>
      <c r="VZI107" s="75"/>
      <c r="VZL107" s="75"/>
      <c r="VZM107" s="72"/>
      <c r="VZN107" s="68"/>
      <c r="VZO107" s="1"/>
      <c r="VZP107" s="73"/>
      <c r="VZQ107" s="74"/>
      <c r="VZS107" s="75"/>
      <c r="VZV107" s="75"/>
      <c r="VZW107" s="72"/>
      <c r="VZX107" s="68"/>
      <c r="VZY107" s="1"/>
      <c r="VZZ107" s="73"/>
      <c r="WAA107" s="74"/>
      <c r="WAC107" s="75"/>
      <c r="WAF107" s="75"/>
      <c r="WAG107" s="72"/>
      <c r="WAH107" s="68"/>
      <c r="WAI107" s="1"/>
      <c r="WAJ107" s="73"/>
      <c r="WAK107" s="74"/>
      <c r="WAM107" s="75"/>
      <c r="WAP107" s="75"/>
      <c r="WAQ107" s="72"/>
      <c r="WAR107" s="68"/>
      <c r="WAS107" s="1"/>
      <c r="WAT107" s="73"/>
      <c r="WAU107" s="74"/>
      <c r="WAW107" s="75"/>
      <c r="WAZ107" s="75"/>
      <c r="WBA107" s="72"/>
      <c r="WBB107" s="68"/>
      <c r="WBC107" s="1"/>
      <c r="WBD107" s="73"/>
      <c r="WBE107" s="74"/>
      <c r="WBG107" s="75"/>
      <c r="WBJ107" s="75"/>
      <c r="WBK107" s="72"/>
      <c r="WBL107" s="68"/>
      <c r="WBM107" s="1"/>
      <c r="WBN107" s="73"/>
      <c r="WBO107" s="74"/>
      <c r="WBQ107" s="75"/>
      <c r="WBT107" s="75"/>
      <c r="WBU107" s="72"/>
      <c r="WBV107" s="68"/>
      <c r="WBW107" s="1"/>
      <c r="WBX107" s="73"/>
      <c r="WBY107" s="74"/>
      <c r="WCA107" s="75"/>
      <c r="WCD107" s="75"/>
      <c r="WCE107" s="72"/>
      <c r="WCF107" s="68"/>
      <c r="WCG107" s="1"/>
      <c r="WCH107" s="73"/>
      <c r="WCI107" s="74"/>
      <c r="WCK107" s="75"/>
      <c r="WCN107" s="75"/>
      <c r="WCO107" s="72"/>
      <c r="WCP107" s="68"/>
      <c r="WCQ107" s="1"/>
      <c r="WCR107" s="73"/>
      <c r="WCS107" s="74"/>
      <c r="WCU107" s="75"/>
      <c r="WCX107" s="75"/>
      <c r="WCY107" s="72"/>
      <c r="WCZ107" s="68"/>
      <c r="WDA107" s="1"/>
      <c r="WDB107" s="73"/>
      <c r="WDC107" s="74"/>
      <c r="WDE107" s="75"/>
      <c r="WDH107" s="75"/>
      <c r="WDI107" s="72"/>
      <c r="WDJ107" s="68"/>
      <c r="WDK107" s="1"/>
      <c r="WDL107" s="73"/>
      <c r="WDM107" s="74"/>
      <c r="WDO107" s="75"/>
      <c r="WDR107" s="75"/>
      <c r="WDS107" s="72"/>
      <c r="WDT107" s="68"/>
      <c r="WDU107" s="1"/>
      <c r="WDV107" s="73"/>
      <c r="WDW107" s="74"/>
      <c r="WDY107" s="75"/>
      <c r="WEB107" s="75"/>
      <c r="WEC107" s="72"/>
      <c r="WED107" s="68"/>
      <c r="WEE107" s="1"/>
      <c r="WEF107" s="73"/>
      <c r="WEG107" s="74"/>
      <c r="WEI107" s="75"/>
      <c r="WEL107" s="75"/>
      <c r="WEM107" s="72"/>
      <c r="WEN107" s="68"/>
      <c r="WEO107" s="1"/>
      <c r="WEP107" s="73"/>
      <c r="WEQ107" s="74"/>
      <c r="WES107" s="75"/>
      <c r="WEV107" s="75"/>
      <c r="WEW107" s="72"/>
      <c r="WEX107" s="68"/>
      <c r="WEY107" s="1"/>
      <c r="WEZ107" s="73"/>
      <c r="WFA107" s="74"/>
      <c r="WFC107" s="75"/>
      <c r="WFF107" s="75"/>
      <c r="WFG107" s="72"/>
      <c r="WFH107" s="68"/>
      <c r="WFI107" s="1"/>
      <c r="WFJ107" s="73"/>
      <c r="WFK107" s="74"/>
      <c r="WFM107" s="75"/>
      <c r="WFP107" s="75"/>
      <c r="WFQ107" s="72"/>
      <c r="WFR107" s="68"/>
      <c r="WFS107" s="1"/>
      <c r="WFT107" s="73"/>
      <c r="WFU107" s="74"/>
      <c r="WFW107" s="75"/>
      <c r="WFZ107" s="75"/>
      <c r="WGA107" s="72"/>
      <c r="WGB107" s="68"/>
      <c r="WGC107" s="1"/>
      <c r="WGD107" s="73"/>
      <c r="WGE107" s="74"/>
      <c r="WGG107" s="75"/>
      <c r="WGJ107" s="75"/>
      <c r="WGK107" s="72"/>
      <c r="WGL107" s="68"/>
      <c r="WGM107" s="1"/>
      <c r="WGN107" s="73"/>
      <c r="WGO107" s="74"/>
      <c r="WGQ107" s="75"/>
      <c r="WGT107" s="75"/>
      <c r="WGU107" s="72"/>
      <c r="WGV107" s="68"/>
      <c r="WGW107" s="1"/>
      <c r="WGX107" s="73"/>
      <c r="WGY107" s="74"/>
      <c r="WHA107" s="75"/>
      <c r="WHD107" s="75"/>
      <c r="WHE107" s="72"/>
      <c r="WHF107" s="68"/>
      <c r="WHG107" s="1"/>
      <c r="WHH107" s="73"/>
      <c r="WHI107" s="74"/>
      <c r="WHK107" s="75"/>
      <c r="WHN107" s="75"/>
      <c r="WHO107" s="72"/>
      <c r="WHP107" s="68"/>
      <c r="WHQ107" s="1"/>
      <c r="WHR107" s="73"/>
      <c r="WHS107" s="74"/>
      <c r="WHU107" s="75"/>
      <c r="WHX107" s="75"/>
      <c r="WHY107" s="72"/>
      <c r="WHZ107" s="68"/>
      <c r="WIA107" s="1"/>
      <c r="WIB107" s="73"/>
      <c r="WIC107" s="74"/>
      <c r="WIE107" s="75"/>
      <c r="WIH107" s="75"/>
      <c r="WII107" s="72"/>
      <c r="WIJ107" s="68"/>
      <c r="WIK107" s="1"/>
      <c r="WIL107" s="73"/>
      <c r="WIM107" s="74"/>
      <c r="WIO107" s="75"/>
      <c r="WIR107" s="75"/>
      <c r="WIS107" s="72"/>
      <c r="WIT107" s="68"/>
      <c r="WIU107" s="1"/>
      <c r="WIV107" s="73"/>
      <c r="WIW107" s="74"/>
      <c r="WIY107" s="75"/>
      <c r="WJB107" s="75"/>
      <c r="WJC107" s="72"/>
      <c r="WJD107" s="68"/>
      <c r="WJE107" s="1"/>
      <c r="WJF107" s="73"/>
      <c r="WJG107" s="74"/>
      <c r="WJI107" s="75"/>
      <c r="WJL107" s="75"/>
      <c r="WJM107" s="72"/>
      <c r="WJN107" s="68"/>
      <c r="WJO107" s="1"/>
      <c r="WJP107" s="73"/>
      <c r="WJQ107" s="74"/>
      <c r="WJS107" s="75"/>
      <c r="WJV107" s="75"/>
      <c r="WJW107" s="72"/>
      <c r="WJX107" s="68"/>
      <c r="WJY107" s="1"/>
      <c r="WJZ107" s="73"/>
      <c r="WKA107" s="74"/>
      <c r="WKC107" s="75"/>
      <c r="WKF107" s="75"/>
      <c r="WKG107" s="72"/>
      <c r="WKH107" s="68"/>
      <c r="WKI107" s="1"/>
      <c r="WKJ107" s="73"/>
      <c r="WKK107" s="74"/>
      <c r="WKM107" s="75"/>
      <c r="WKP107" s="75"/>
      <c r="WKQ107" s="72"/>
      <c r="WKR107" s="68"/>
      <c r="WKS107" s="1"/>
      <c r="WKT107" s="73"/>
      <c r="WKU107" s="74"/>
      <c r="WKW107" s="75"/>
      <c r="WKZ107" s="75"/>
      <c r="WLA107" s="72"/>
      <c r="WLB107" s="68"/>
      <c r="WLC107" s="1"/>
      <c r="WLD107" s="73"/>
      <c r="WLE107" s="74"/>
      <c r="WLG107" s="75"/>
      <c r="WLJ107" s="75"/>
      <c r="WLK107" s="72"/>
      <c r="WLL107" s="68"/>
      <c r="WLM107" s="1"/>
      <c r="WLN107" s="73"/>
      <c r="WLO107" s="74"/>
      <c r="WLQ107" s="75"/>
      <c r="WLT107" s="75"/>
      <c r="WLU107" s="72"/>
      <c r="WLV107" s="68"/>
      <c r="WLW107" s="1"/>
      <c r="WLX107" s="73"/>
      <c r="WLY107" s="74"/>
      <c r="WMA107" s="75"/>
      <c r="WMD107" s="75"/>
      <c r="WME107" s="72"/>
      <c r="WMF107" s="68"/>
      <c r="WMG107" s="1"/>
      <c r="WMH107" s="73"/>
      <c r="WMI107" s="74"/>
      <c r="WMK107" s="75"/>
      <c r="WMN107" s="75"/>
      <c r="WMO107" s="72"/>
      <c r="WMP107" s="68"/>
      <c r="WMQ107" s="1"/>
      <c r="WMR107" s="73"/>
      <c r="WMS107" s="74"/>
      <c r="WMU107" s="75"/>
      <c r="WMX107" s="75"/>
      <c r="WMY107" s="72"/>
      <c r="WMZ107" s="68"/>
      <c r="WNA107" s="1"/>
      <c r="WNB107" s="73"/>
      <c r="WNC107" s="74"/>
      <c r="WNE107" s="75"/>
      <c r="WNH107" s="75"/>
      <c r="WNI107" s="72"/>
      <c r="WNJ107" s="68"/>
      <c r="WNK107" s="1"/>
      <c r="WNL107" s="73"/>
      <c r="WNM107" s="74"/>
      <c r="WNO107" s="75"/>
      <c r="WNR107" s="75"/>
      <c r="WNS107" s="72"/>
      <c r="WNT107" s="68"/>
      <c r="WNU107" s="1"/>
      <c r="WNV107" s="73"/>
      <c r="WNW107" s="74"/>
      <c r="WNY107" s="75"/>
      <c r="WOB107" s="75"/>
      <c r="WOC107" s="72"/>
      <c r="WOD107" s="68"/>
      <c r="WOE107" s="1"/>
      <c r="WOF107" s="73"/>
      <c r="WOG107" s="74"/>
      <c r="WOI107" s="75"/>
      <c r="WOL107" s="75"/>
      <c r="WOM107" s="72"/>
      <c r="WON107" s="68"/>
      <c r="WOO107" s="1"/>
      <c r="WOP107" s="73"/>
      <c r="WOQ107" s="74"/>
      <c r="WOS107" s="75"/>
      <c r="WOV107" s="75"/>
      <c r="WOW107" s="72"/>
      <c r="WOX107" s="68"/>
      <c r="WOY107" s="1"/>
      <c r="WOZ107" s="73"/>
      <c r="WPA107" s="74"/>
      <c r="WPC107" s="75"/>
      <c r="WPF107" s="75"/>
      <c r="WPG107" s="72"/>
      <c r="WPH107" s="68"/>
      <c r="WPI107" s="1"/>
      <c r="WPJ107" s="73"/>
      <c r="WPK107" s="74"/>
      <c r="WPM107" s="75"/>
      <c r="WPP107" s="75"/>
      <c r="WPQ107" s="72"/>
      <c r="WPR107" s="68"/>
      <c r="WPS107" s="1"/>
      <c r="WPT107" s="73"/>
      <c r="WPU107" s="74"/>
      <c r="WPW107" s="75"/>
      <c r="WPZ107" s="75"/>
      <c r="WQA107" s="72"/>
      <c r="WQB107" s="68"/>
      <c r="WQC107" s="1"/>
      <c r="WQD107" s="73"/>
      <c r="WQE107" s="74"/>
      <c r="WQG107" s="75"/>
      <c r="WQJ107" s="75"/>
      <c r="WQK107" s="72"/>
      <c r="WQL107" s="68"/>
      <c r="WQM107" s="1"/>
      <c r="WQN107" s="73"/>
      <c r="WQO107" s="74"/>
      <c r="WQQ107" s="75"/>
      <c r="WQT107" s="75"/>
      <c r="WQU107" s="72"/>
      <c r="WQV107" s="68"/>
      <c r="WQW107" s="1"/>
      <c r="WQX107" s="73"/>
      <c r="WQY107" s="74"/>
      <c r="WRA107" s="75"/>
      <c r="WRD107" s="75"/>
      <c r="WRE107" s="72"/>
      <c r="WRF107" s="68"/>
      <c r="WRG107" s="1"/>
      <c r="WRH107" s="73"/>
      <c r="WRI107" s="74"/>
      <c r="WRK107" s="75"/>
      <c r="WRN107" s="75"/>
      <c r="WRO107" s="72"/>
      <c r="WRP107" s="68"/>
      <c r="WRQ107" s="1"/>
      <c r="WRR107" s="73"/>
      <c r="WRS107" s="74"/>
      <c r="WRU107" s="75"/>
      <c r="WRX107" s="75"/>
      <c r="WRY107" s="72"/>
      <c r="WRZ107" s="68"/>
      <c r="WSA107" s="1"/>
      <c r="WSB107" s="73"/>
      <c r="WSC107" s="74"/>
      <c r="WSE107" s="75"/>
      <c r="WSH107" s="75"/>
      <c r="WSI107" s="72"/>
      <c r="WSJ107" s="68"/>
      <c r="WSK107" s="1"/>
      <c r="WSL107" s="73"/>
      <c r="WSM107" s="74"/>
      <c r="WSO107" s="75"/>
      <c r="WSR107" s="75"/>
      <c r="WSS107" s="72"/>
      <c r="WST107" s="68"/>
      <c r="WSU107" s="1"/>
      <c r="WSV107" s="73"/>
      <c r="WSW107" s="74"/>
      <c r="WSY107" s="75"/>
      <c r="WTB107" s="75"/>
      <c r="WTC107" s="72"/>
      <c r="WTD107" s="68"/>
      <c r="WTE107" s="1"/>
      <c r="WTF107" s="73"/>
      <c r="WTG107" s="74"/>
      <c r="WTI107" s="75"/>
      <c r="WTL107" s="75"/>
      <c r="WTM107" s="72"/>
      <c r="WTN107" s="68"/>
      <c r="WTO107" s="1"/>
      <c r="WTP107" s="73"/>
      <c r="WTQ107" s="74"/>
      <c r="WTS107" s="75"/>
      <c r="WTV107" s="75"/>
      <c r="WTW107" s="72"/>
      <c r="WTX107" s="68"/>
      <c r="WTY107" s="1"/>
      <c r="WTZ107" s="73"/>
      <c r="WUA107" s="74"/>
      <c r="WUC107" s="75"/>
      <c r="WUF107" s="75"/>
      <c r="WUG107" s="72"/>
      <c r="WUH107" s="68"/>
      <c r="WUI107" s="1"/>
      <c r="WUJ107" s="73"/>
      <c r="WUK107" s="74"/>
      <c r="WUM107" s="75"/>
      <c r="WUP107" s="75"/>
      <c r="WUQ107" s="72"/>
      <c r="WUR107" s="68"/>
      <c r="WUS107" s="1"/>
      <c r="WUT107" s="73"/>
      <c r="WUU107" s="74"/>
      <c r="WUW107" s="75"/>
      <c r="WUZ107" s="75"/>
      <c r="WVA107" s="72"/>
      <c r="WVB107" s="68"/>
      <c r="WVC107" s="1"/>
      <c r="WVD107" s="73"/>
      <c r="WVE107" s="74"/>
      <c r="WVG107" s="75"/>
      <c r="WVJ107" s="75"/>
      <c r="WVK107" s="72"/>
      <c r="WVL107" s="68"/>
      <c r="WVM107" s="1"/>
      <c r="WVN107" s="73"/>
      <c r="WVO107" s="74"/>
      <c r="WVQ107" s="75"/>
      <c r="WVT107" s="75"/>
      <c r="WVU107" s="72"/>
      <c r="WVV107" s="68"/>
      <c r="WVW107" s="1"/>
      <c r="WVX107" s="73"/>
      <c r="WVY107" s="74"/>
      <c r="WWA107" s="75"/>
      <c r="WWD107" s="75"/>
      <c r="WWE107" s="72"/>
      <c r="WWF107" s="68"/>
      <c r="WWG107" s="1"/>
      <c r="WWH107" s="73"/>
      <c r="WWI107" s="74"/>
      <c r="WWK107" s="75"/>
      <c r="WWN107" s="75"/>
      <c r="WWO107" s="72"/>
      <c r="WWP107" s="68"/>
      <c r="WWQ107" s="1"/>
      <c r="WWR107" s="73"/>
      <c r="WWS107" s="74"/>
      <c r="WWU107" s="75"/>
      <c r="WWX107" s="75"/>
      <c r="WWY107" s="72"/>
      <c r="WWZ107" s="68"/>
      <c r="WXA107" s="1"/>
      <c r="WXB107" s="73"/>
      <c r="WXC107" s="74"/>
      <c r="WXE107" s="75"/>
      <c r="WXH107" s="75"/>
      <c r="WXI107" s="72"/>
      <c r="WXJ107" s="68"/>
      <c r="WXK107" s="1"/>
      <c r="WXL107" s="73"/>
      <c r="WXM107" s="74"/>
      <c r="WXO107" s="75"/>
      <c r="WXR107" s="75"/>
      <c r="WXS107" s="72"/>
      <c r="WXT107" s="68"/>
      <c r="WXU107" s="1"/>
      <c r="WXV107" s="73"/>
      <c r="WXW107" s="74"/>
      <c r="WXY107" s="75"/>
      <c r="WYB107" s="75"/>
      <c r="WYC107" s="72"/>
      <c r="WYD107" s="68"/>
      <c r="WYE107" s="1"/>
      <c r="WYF107" s="73"/>
      <c r="WYG107" s="74"/>
      <c r="WYI107" s="75"/>
      <c r="WYL107" s="75"/>
      <c r="WYM107" s="72"/>
      <c r="WYN107" s="68"/>
      <c r="WYO107" s="1"/>
      <c r="WYP107" s="73"/>
      <c r="WYQ107" s="74"/>
      <c r="WYS107" s="75"/>
      <c r="WYV107" s="75"/>
      <c r="WYW107" s="72"/>
      <c r="WYX107" s="68"/>
      <c r="WYY107" s="1"/>
      <c r="WYZ107" s="73"/>
      <c r="WZA107" s="74"/>
      <c r="WZC107" s="75"/>
      <c r="WZF107" s="75"/>
      <c r="WZG107" s="72"/>
      <c r="WZH107" s="68"/>
      <c r="WZI107" s="1"/>
      <c r="WZJ107" s="73"/>
      <c r="WZK107" s="74"/>
      <c r="WZM107" s="75"/>
      <c r="WZP107" s="75"/>
      <c r="WZQ107" s="72"/>
      <c r="WZR107" s="68"/>
      <c r="WZS107" s="1"/>
      <c r="WZT107" s="73"/>
      <c r="WZU107" s="74"/>
      <c r="WZW107" s="75"/>
      <c r="WZZ107" s="75"/>
      <c r="XAA107" s="72"/>
      <c r="XAB107" s="68"/>
      <c r="XAC107" s="1"/>
      <c r="XAD107" s="73"/>
      <c r="XAE107" s="74"/>
      <c r="XAG107" s="75"/>
      <c r="XAJ107" s="75"/>
      <c r="XAK107" s="72"/>
      <c r="XAL107" s="68"/>
      <c r="XAM107" s="1"/>
      <c r="XAN107" s="73"/>
      <c r="XAO107" s="74"/>
      <c r="XAQ107" s="75"/>
      <c r="XAT107" s="75"/>
      <c r="XAU107" s="72"/>
      <c r="XAV107" s="68"/>
      <c r="XAW107" s="1"/>
      <c r="XAX107" s="73"/>
      <c r="XAY107" s="74"/>
      <c r="XBA107" s="75"/>
      <c r="XBD107" s="75"/>
      <c r="XBE107" s="72"/>
      <c r="XBF107" s="68"/>
      <c r="XBG107" s="1"/>
      <c r="XBH107" s="73"/>
      <c r="XBI107" s="74"/>
      <c r="XBK107" s="75"/>
      <c r="XBN107" s="75"/>
      <c r="XBO107" s="72"/>
      <c r="XBP107" s="68"/>
      <c r="XBQ107" s="1"/>
      <c r="XBR107" s="73"/>
      <c r="XBS107" s="74"/>
      <c r="XBU107" s="75"/>
      <c r="XBX107" s="75"/>
      <c r="XBY107" s="72"/>
      <c r="XBZ107" s="68"/>
      <c r="XCA107" s="1"/>
      <c r="XCB107" s="73"/>
      <c r="XCC107" s="74"/>
      <c r="XCE107" s="75"/>
      <c r="XCH107" s="75"/>
      <c r="XCI107" s="72"/>
      <c r="XCJ107" s="68"/>
      <c r="XCK107" s="1"/>
      <c r="XCL107" s="73"/>
      <c r="XCM107" s="74"/>
      <c r="XCO107" s="75"/>
      <c r="XCR107" s="75"/>
      <c r="XCS107" s="72"/>
      <c r="XCT107" s="68"/>
      <c r="XCU107" s="1"/>
      <c r="XCV107" s="73"/>
      <c r="XCW107" s="74"/>
      <c r="XCY107" s="75"/>
      <c r="XDB107" s="75"/>
      <c r="XDC107" s="72"/>
      <c r="XDD107" s="68"/>
      <c r="XDE107" s="1"/>
      <c r="XDF107" s="73"/>
      <c r="XDG107" s="74"/>
      <c r="XDI107" s="75"/>
      <c r="XDL107" s="75"/>
      <c r="XDM107" s="72"/>
      <c r="XDN107" s="68"/>
      <c r="XDO107" s="1"/>
      <c r="XDP107" s="73"/>
      <c r="XDQ107" s="74"/>
      <c r="XDS107" s="75"/>
      <c r="XDV107" s="75"/>
      <c r="XDW107" s="72"/>
      <c r="XDX107" s="68"/>
      <c r="XDY107" s="1"/>
      <c r="XDZ107" s="73"/>
      <c r="XEA107" s="74"/>
      <c r="XEC107" s="75"/>
      <c r="XEF107" s="75"/>
      <c r="XEG107" s="72"/>
      <c r="XEH107" s="68"/>
      <c r="XEI107" s="1"/>
      <c r="XEJ107" s="73"/>
      <c r="XEK107" s="74"/>
      <c r="XEM107" s="75"/>
      <c r="XEP107" s="75"/>
      <c r="XEQ107" s="72"/>
      <c r="XER107" s="68"/>
      <c r="XES107" s="1"/>
      <c r="XET107" s="73"/>
      <c r="XEU107" s="74"/>
      <c r="XEW107" s="75"/>
      <c r="XEZ107" s="75"/>
      <c r="XFA107" s="72"/>
      <c r="XFB107" s="68"/>
      <c r="XFC107" s="1"/>
      <c r="XFD107" s="73"/>
    </row>
    <row r="108" s="21" customFormat="true" ht="16.5" hidden="false" customHeight="true" outlineLevel="0" collapsed="false">
      <c r="A108" s="72" t="n">
        <v>45890</v>
      </c>
      <c r="B108" s="68"/>
      <c r="C108" s="1"/>
      <c r="D108" s="73" t="n">
        <v>0.61379556712963</v>
      </c>
      <c r="E108" s="74" t="n">
        <v>57471.5545368849</v>
      </c>
      <c r="F108" s="21" t="n">
        <v>145773.4479984</v>
      </c>
      <c r="G108" s="75" t="n">
        <v>0.650853025727392</v>
      </c>
      <c r="H108" s="21" t="n">
        <v>99501.3745368849</v>
      </c>
      <c r="I108" s="21" t="n">
        <v>190305.7679984</v>
      </c>
      <c r="J108" s="75" t="n">
        <v>1.09577709562099</v>
      </c>
      <c r="K108" s="72"/>
      <c r="L108" s="68"/>
      <c r="M108" s="1"/>
      <c r="N108" s="73"/>
      <c r="O108" s="74"/>
      <c r="Q108" s="75"/>
      <c r="T108" s="75"/>
      <c r="U108" s="72"/>
      <c r="V108" s="68"/>
      <c r="W108" s="1"/>
      <c r="X108" s="73"/>
      <c r="Y108" s="74"/>
      <c r="AA108" s="75"/>
      <c r="AD108" s="75"/>
      <c r="AE108" s="72"/>
      <c r="AF108" s="68"/>
      <c r="AG108" s="1"/>
      <c r="AH108" s="73"/>
      <c r="AI108" s="74"/>
      <c r="AK108" s="75"/>
      <c r="AN108" s="75"/>
      <c r="AO108" s="72"/>
      <c r="AP108" s="68"/>
      <c r="AQ108" s="1"/>
      <c r="AR108" s="73"/>
      <c r="AS108" s="74"/>
      <c r="AU108" s="75"/>
      <c r="AX108" s="75"/>
      <c r="AY108" s="72"/>
      <c r="AZ108" s="68"/>
      <c r="BA108" s="1"/>
      <c r="BB108" s="73"/>
      <c r="BC108" s="74"/>
      <c r="BE108" s="75"/>
      <c r="BH108" s="75"/>
      <c r="BI108" s="72"/>
      <c r="BJ108" s="68"/>
      <c r="BK108" s="1"/>
      <c r="BL108" s="73"/>
      <c r="BM108" s="74"/>
      <c r="BO108" s="75"/>
      <c r="BR108" s="75"/>
      <c r="BS108" s="72"/>
      <c r="BT108" s="68"/>
      <c r="BU108" s="1"/>
      <c r="BV108" s="73"/>
      <c r="BW108" s="74"/>
      <c r="BY108" s="75"/>
      <c r="CB108" s="75"/>
      <c r="CC108" s="72"/>
      <c r="CD108" s="68"/>
      <c r="CE108" s="1"/>
      <c r="CF108" s="73"/>
      <c r="CG108" s="74"/>
      <c r="CI108" s="75"/>
      <c r="CL108" s="75"/>
      <c r="CM108" s="72"/>
      <c r="CN108" s="68"/>
      <c r="CO108" s="1"/>
      <c r="CP108" s="73"/>
      <c r="CQ108" s="74"/>
      <c r="CS108" s="75"/>
      <c r="CV108" s="75"/>
      <c r="CW108" s="72"/>
      <c r="CX108" s="68"/>
      <c r="CY108" s="1"/>
      <c r="CZ108" s="73"/>
      <c r="DA108" s="74"/>
      <c r="DC108" s="75"/>
      <c r="DF108" s="75"/>
      <c r="DG108" s="72"/>
      <c r="DH108" s="68"/>
      <c r="DI108" s="1"/>
      <c r="DJ108" s="73"/>
      <c r="DK108" s="74"/>
      <c r="DM108" s="75"/>
      <c r="DP108" s="75"/>
      <c r="DQ108" s="72"/>
      <c r="DR108" s="68"/>
      <c r="DS108" s="1"/>
      <c r="DT108" s="73"/>
      <c r="DU108" s="74"/>
      <c r="DW108" s="75"/>
      <c r="DZ108" s="75"/>
      <c r="EA108" s="72"/>
      <c r="EB108" s="68"/>
      <c r="EC108" s="1"/>
      <c r="ED108" s="73"/>
      <c r="EE108" s="74"/>
      <c r="EG108" s="75"/>
      <c r="EJ108" s="75"/>
      <c r="EK108" s="72"/>
      <c r="EL108" s="68"/>
      <c r="EM108" s="1"/>
      <c r="EN108" s="73"/>
      <c r="EO108" s="74"/>
      <c r="EQ108" s="75"/>
      <c r="ET108" s="75"/>
      <c r="EU108" s="72"/>
      <c r="EV108" s="68"/>
      <c r="EW108" s="1"/>
      <c r="EX108" s="73"/>
      <c r="EY108" s="74"/>
      <c r="FA108" s="75"/>
      <c r="FD108" s="75"/>
      <c r="FE108" s="72"/>
      <c r="FF108" s="68"/>
      <c r="FG108" s="1"/>
      <c r="FH108" s="73"/>
      <c r="FI108" s="74"/>
      <c r="FK108" s="75"/>
      <c r="FN108" s="75"/>
      <c r="FO108" s="72"/>
      <c r="FP108" s="68"/>
      <c r="FQ108" s="1"/>
      <c r="FR108" s="73"/>
      <c r="FS108" s="74"/>
      <c r="FU108" s="75"/>
      <c r="FX108" s="75"/>
      <c r="FY108" s="72"/>
      <c r="FZ108" s="68"/>
      <c r="GA108" s="1"/>
      <c r="GB108" s="73"/>
      <c r="GC108" s="74"/>
      <c r="GE108" s="75"/>
      <c r="GH108" s="75"/>
      <c r="GI108" s="72"/>
      <c r="GJ108" s="68"/>
      <c r="GK108" s="1"/>
      <c r="GL108" s="73"/>
      <c r="GM108" s="74"/>
      <c r="GO108" s="75"/>
      <c r="GR108" s="75"/>
      <c r="GS108" s="72"/>
      <c r="GT108" s="68"/>
      <c r="GU108" s="1"/>
      <c r="GV108" s="73"/>
      <c r="GW108" s="74"/>
      <c r="GY108" s="75"/>
      <c r="HB108" s="75"/>
      <c r="HC108" s="72"/>
      <c r="HD108" s="68"/>
      <c r="HE108" s="1"/>
      <c r="HF108" s="73"/>
      <c r="HG108" s="74"/>
      <c r="HI108" s="75"/>
      <c r="HL108" s="75"/>
      <c r="HM108" s="72"/>
      <c r="HN108" s="68"/>
      <c r="HO108" s="1"/>
      <c r="HP108" s="73"/>
      <c r="HQ108" s="74"/>
      <c r="HS108" s="75"/>
      <c r="HV108" s="75"/>
      <c r="HW108" s="72"/>
      <c r="HX108" s="68"/>
      <c r="HY108" s="1"/>
      <c r="HZ108" s="73"/>
      <c r="IA108" s="74"/>
      <c r="IC108" s="75"/>
      <c r="IF108" s="75"/>
      <c r="IG108" s="72"/>
      <c r="IH108" s="68"/>
      <c r="II108" s="1"/>
      <c r="IJ108" s="73"/>
      <c r="IK108" s="74"/>
      <c r="IM108" s="75"/>
      <c r="IP108" s="75"/>
      <c r="IQ108" s="72"/>
      <c r="IR108" s="68"/>
      <c r="IS108" s="1"/>
      <c r="IT108" s="73"/>
      <c r="IU108" s="74"/>
      <c r="IW108" s="75"/>
      <c r="IZ108" s="75"/>
      <c r="JA108" s="72"/>
      <c r="JB108" s="68"/>
      <c r="JC108" s="1"/>
      <c r="JD108" s="73"/>
      <c r="JE108" s="74"/>
      <c r="JG108" s="75"/>
      <c r="JJ108" s="75"/>
      <c r="JK108" s="72"/>
      <c r="JL108" s="68"/>
      <c r="JM108" s="1"/>
      <c r="JN108" s="73"/>
      <c r="JO108" s="74"/>
      <c r="JQ108" s="75"/>
      <c r="JT108" s="75"/>
      <c r="JU108" s="72"/>
      <c r="JV108" s="68"/>
      <c r="JW108" s="1"/>
      <c r="JX108" s="73"/>
      <c r="JY108" s="74"/>
      <c r="KA108" s="75"/>
      <c r="KD108" s="75"/>
      <c r="KE108" s="72"/>
      <c r="KF108" s="68"/>
      <c r="KG108" s="1"/>
      <c r="KH108" s="73"/>
      <c r="KI108" s="74"/>
      <c r="KK108" s="75"/>
      <c r="KN108" s="75"/>
      <c r="KO108" s="72"/>
      <c r="KP108" s="68"/>
      <c r="KQ108" s="1"/>
      <c r="KR108" s="73"/>
      <c r="KS108" s="74"/>
      <c r="KU108" s="75"/>
      <c r="KX108" s="75"/>
      <c r="KY108" s="72"/>
      <c r="KZ108" s="68"/>
      <c r="LA108" s="1"/>
      <c r="LB108" s="73"/>
      <c r="LC108" s="74"/>
      <c r="LE108" s="75"/>
      <c r="LH108" s="75"/>
      <c r="LI108" s="72"/>
      <c r="LJ108" s="68"/>
      <c r="LK108" s="1"/>
      <c r="LL108" s="73"/>
      <c r="LM108" s="74"/>
      <c r="LO108" s="75"/>
      <c r="LR108" s="75"/>
      <c r="LS108" s="72"/>
      <c r="LT108" s="68"/>
      <c r="LU108" s="1"/>
      <c r="LV108" s="73"/>
      <c r="LW108" s="74"/>
      <c r="LY108" s="75"/>
      <c r="MB108" s="75"/>
      <c r="MC108" s="72"/>
      <c r="MD108" s="68"/>
      <c r="ME108" s="1"/>
      <c r="MF108" s="73"/>
      <c r="MG108" s="74"/>
      <c r="MI108" s="75"/>
      <c r="ML108" s="75"/>
      <c r="MM108" s="72"/>
      <c r="MN108" s="68"/>
      <c r="MO108" s="1"/>
      <c r="MP108" s="73"/>
      <c r="MQ108" s="74"/>
      <c r="MS108" s="75"/>
      <c r="MV108" s="75"/>
      <c r="MW108" s="72"/>
      <c r="MX108" s="68"/>
      <c r="MY108" s="1"/>
      <c r="MZ108" s="73"/>
      <c r="NA108" s="74"/>
      <c r="NC108" s="75"/>
      <c r="NF108" s="75"/>
      <c r="NG108" s="72"/>
      <c r="NH108" s="68"/>
      <c r="NI108" s="1"/>
      <c r="NJ108" s="73"/>
      <c r="NK108" s="74"/>
      <c r="NM108" s="75"/>
      <c r="NP108" s="75"/>
      <c r="NQ108" s="72"/>
      <c r="NR108" s="68"/>
      <c r="NS108" s="1"/>
      <c r="NT108" s="73"/>
      <c r="NU108" s="74"/>
      <c r="NW108" s="75"/>
      <c r="NZ108" s="75"/>
      <c r="OA108" s="72"/>
      <c r="OB108" s="68"/>
      <c r="OC108" s="1"/>
      <c r="OD108" s="73"/>
      <c r="OE108" s="74"/>
      <c r="OG108" s="75"/>
      <c r="OJ108" s="75"/>
      <c r="OK108" s="72"/>
      <c r="OL108" s="68"/>
      <c r="OM108" s="1"/>
      <c r="ON108" s="73"/>
      <c r="OO108" s="74"/>
      <c r="OQ108" s="75"/>
      <c r="OT108" s="75"/>
      <c r="OU108" s="72"/>
      <c r="OV108" s="68"/>
      <c r="OW108" s="1"/>
      <c r="OX108" s="73"/>
      <c r="OY108" s="74"/>
      <c r="PA108" s="75"/>
      <c r="PD108" s="75"/>
      <c r="PE108" s="72"/>
      <c r="PF108" s="68"/>
      <c r="PG108" s="1"/>
      <c r="PH108" s="73"/>
      <c r="PI108" s="74"/>
      <c r="PK108" s="75"/>
      <c r="PN108" s="75"/>
      <c r="PO108" s="72"/>
      <c r="PP108" s="68"/>
      <c r="PQ108" s="1"/>
      <c r="PR108" s="73"/>
      <c r="PS108" s="74"/>
      <c r="PU108" s="75"/>
      <c r="PX108" s="75"/>
      <c r="PY108" s="72"/>
      <c r="PZ108" s="68"/>
      <c r="QA108" s="1"/>
      <c r="QB108" s="73"/>
      <c r="QC108" s="74"/>
      <c r="QE108" s="75"/>
      <c r="QH108" s="75"/>
      <c r="QI108" s="72"/>
      <c r="QJ108" s="68"/>
      <c r="QK108" s="1"/>
      <c r="QL108" s="73"/>
      <c r="QM108" s="74"/>
      <c r="QO108" s="75"/>
      <c r="QR108" s="75"/>
      <c r="QS108" s="72"/>
      <c r="QT108" s="68"/>
      <c r="QU108" s="1"/>
      <c r="QV108" s="73"/>
      <c r="QW108" s="74"/>
      <c r="QY108" s="75"/>
      <c r="RB108" s="75"/>
      <c r="RC108" s="72"/>
      <c r="RD108" s="68"/>
      <c r="RE108" s="1"/>
      <c r="RF108" s="73"/>
      <c r="RG108" s="74"/>
      <c r="RI108" s="75"/>
      <c r="RL108" s="75"/>
      <c r="RM108" s="72"/>
      <c r="RN108" s="68"/>
      <c r="RO108" s="1"/>
      <c r="RP108" s="73"/>
      <c r="RQ108" s="74"/>
      <c r="RS108" s="75"/>
      <c r="RV108" s="75"/>
      <c r="RW108" s="72"/>
      <c r="RX108" s="68"/>
      <c r="RY108" s="1"/>
      <c r="RZ108" s="73"/>
      <c r="SA108" s="74"/>
      <c r="SC108" s="75"/>
      <c r="SF108" s="75"/>
      <c r="SG108" s="72"/>
      <c r="SH108" s="68"/>
      <c r="SI108" s="1"/>
      <c r="SJ108" s="73"/>
      <c r="SK108" s="74"/>
      <c r="SM108" s="75"/>
      <c r="SP108" s="75"/>
      <c r="SQ108" s="72"/>
      <c r="SR108" s="68"/>
      <c r="SS108" s="1"/>
      <c r="ST108" s="73"/>
      <c r="SU108" s="74"/>
      <c r="SW108" s="75"/>
      <c r="SZ108" s="75"/>
      <c r="TA108" s="72"/>
      <c r="TB108" s="68"/>
      <c r="TC108" s="1"/>
      <c r="TD108" s="73"/>
      <c r="TE108" s="74"/>
      <c r="TG108" s="75"/>
      <c r="TJ108" s="75"/>
      <c r="TK108" s="72"/>
      <c r="TL108" s="68"/>
      <c r="TM108" s="1"/>
      <c r="TN108" s="73"/>
      <c r="TO108" s="74"/>
      <c r="TQ108" s="75"/>
      <c r="TT108" s="75"/>
      <c r="TU108" s="72"/>
      <c r="TV108" s="68"/>
      <c r="TW108" s="1"/>
      <c r="TX108" s="73"/>
      <c r="TY108" s="74"/>
      <c r="UA108" s="75"/>
      <c r="UD108" s="75"/>
      <c r="UE108" s="72"/>
      <c r="UF108" s="68"/>
      <c r="UG108" s="1"/>
      <c r="UH108" s="73"/>
      <c r="UI108" s="74"/>
      <c r="UK108" s="75"/>
      <c r="UN108" s="75"/>
      <c r="UO108" s="72"/>
      <c r="UP108" s="68"/>
      <c r="UQ108" s="1"/>
      <c r="UR108" s="73"/>
      <c r="US108" s="74"/>
      <c r="UU108" s="75"/>
      <c r="UX108" s="75"/>
      <c r="UY108" s="72"/>
      <c r="UZ108" s="68"/>
      <c r="VA108" s="1"/>
      <c r="VB108" s="73"/>
      <c r="VC108" s="74"/>
      <c r="VE108" s="75"/>
      <c r="VH108" s="75"/>
      <c r="VI108" s="72"/>
      <c r="VJ108" s="68"/>
      <c r="VK108" s="1"/>
      <c r="VL108" s="73"/>
      <c r="VM108" s="74"/>
      <c r="VO108" s="75"/>
      <c r="VR108" s="75"/>
      <c r="VS108" s="72"/>
      <c r="VT108" s="68"/>
      <c r="VU108" s="1"/>
      <c r="VV108" s="73"/>
      <c r="VW108" s="74"/>
      <c r="VY108" s="75"/>
      <c r="WB108" s="75"/>
      <c r="WC108" s="72"/>
      <c r="WD108" s="68"/>
      <c r="WE108" s="1"/>
      <c r="WF108" s="73"/>
      <c r="WG108" s="74"/>
      <c r="WI108" s="75"/>
      <c r="WL108" s="75"/>
      <c r="WM108" s="72"/>
      <c r="WN108" s="68"/>
      <c r="WO108" s="1"/>
      <c r="WP108" s="73"/>
      <c r="WQ108" s="74"/>
      <c r="WS108" s="75"/>
      <c r="WV108" s="75"/>
      <c r="WW108" s="72"/>
      <c r="WX108" s="68"/>
      <c r="WY108" s="1"/>
      <c r="WZ108" s="73"/>
      <c r="XA108" s="74"/>
      <c r="XC108" s="75"/>
      <c r="XF108" s="75"/>
      <c r="XG108" s="72"/>
      <c r="XH108" s="68"/>
      <c r="XI108" s="1"/>
      <c r="XJ108" s="73"/>
      <c r="XK108" s="74"/>
      <c r="XM108" s="75"/>
      <c r="XP108" s="75"/>
      <c r="XQ108" s="72"/>
      <c r="XR108" s="68"/>
      <c r="XS108" s="1"/>
      <c r="XT108" s="73"/>
      <c r="XU108" s="74"/>
      <c r="XW108" s="75"/>
      <c r="XZ108" s="75"/>
      <c r="YA108" s="72"/>
      <c r="YB108" s="68"/>
      <c r="YC108" s="1"/>
      <c r="YD108" s="73"/>
      <c r="YE108" s="74"/>
      <c r="YG108" s="75"/>
      <c r="YJ108" s="75"/>
      <c r="YK108" s="72"/>
      <c r="YL108" s="68"/>
      <c r="YM108" s="1"/>
      <c r="YN108" s="73"/>
      <c r="YO108" s="74"/>
      <c r="YQ108" s="75"/>
      <c r="YT108" s="75"/>
      <c r="YU108" s="72"/>
      <c r="YV108" s="68"/>
      <c r="YW108" s="1"/>
      <c r="YX108" s="73"/>
      <c r="YY108" s="74"/>
      <c r="ZA108" s="75"/>
      <c r="ZD108" s="75"/>
      <c r="ZE108" s="72"/>
      <c r="ZF108" s="68"/>
      <c r="ZG108" s="1"/>
      <c r="ZH108" s="73"/>
      <c r="ZI108" s="74"/>
      <c r="ZK108" s="75"/>
      <c r="ZN108" s="75"/>
      <c r="ZO108" s="72"/>
      <c r="ZP108" s="68"/>
      <c r="ZQ108" s="1"/>
      <c r="ZR108" s="73"/>
      <c r="ZS108" s="74"/>
      <c r="ZU108" s="75"/>
      <c r="ZX108" s="75"/>
      <c r="ZY108" s="72"/>
      <c r="ZZ108" s="68"/>
      <c r="AAA108" s="1"/>
      <c r="AAB108" s="73"/>
      <c r="AAC108" s="74"/>
      <c r="AAE108" s="75"/>
      <c r="AAH108" s="75"/>
      <c r="AAI108" s="72"/>
      <c r="AAJ108" s="68"/>
      <c r="AAK108" s="1"/>
      <c r="AAL108" s="73"/>
      <c r="AAM108" s="74"/>
      <c r="AAO108" s="75"/>
      <c r="AAR108" s="75"/>
      <c r="AAS108" s="72"/>
      <c r="AAT108" s="68"/>
      <c r="AAU108" s="1"/>
      <c r="AAV108" s="73"/>
      <c r="AAW108" s="74"/>
      <c r="AAY108" s="75"/>
      <c r="ABB108" s="75"/>
      <c r="ABC108" s="72"/>
      <c r="ABD108" s="68"/>
      <c r="ABE108" s="1"/>
      <c r="ABF108" s="73"/>
      <c r="ABG108" s="74"/>
      <c r="ABI108" s="75"/>
      <c r="ABL108" s="75"/>
      <c r="ABM108" s="72"/>
      <c r="ABN108" s="68"/>
      <c r="ABO108" s="1"/>
      <c r="ABP108" s="73"/>
      <c r="ABQ108" s="74"/>
      <c r="ABS108" s="75"/>
      <c r="ABV108" s="75"/>
      <c r="ABW108" s="72"/>
      <c r="ABX108" s="68"/>
      <c r="ABY108" s="1"/>
      <c r="ABZ108" s="73"/>
      <c r="ACA108" s="74"/>
      <c r="ACC108" s="75"/>
      <c r="ACF108" s="75"/>
      <c r="ACG108" s="72"/>
      <c r="ACH108" s="68"/>
      <c r="ACI108" s="1"/>
      <c r="ACJ108" s="73"/>
      <c r="ACK108" s="74"/>
      <c r="ACM108" s="75"/>
      <c r="ACP108" s="75"/>
      <c r="ACQ108" s="72"/>
      <c r="ACR108" s="68"/>
      <c r="ACS108" s="1"/>
      <c r="ACT108" s="73"/>
      <c r="ACU108" s="74"/>
      <c r="ACW108" s="75"/>
      <c r="ACZ108" s="75"/>
      <c r="ADA108" s="72"/>
      <c r="ADB108" s="68"/>
      <c r="ADC108" s="1"/>
      <c r="ADD108" s="73"/>
      <c r="ADE108" s="74"/>
      <c r="ADG108" s="75"/>
      <c r="ADJ108" s="75"/>
      <c r="ADK108" s="72"/>
      <c r="ADL108" s="68"/>
      <c r="ADM108" s="1"/>
      <c r="ADN108" s="73"/>
      <c r="ADO108" s="74"/>
      <c r="ADQ108" s="75"/>
      <c r="ADT108" s="75"/>
      <c r="ADU108" s="72"/>
      <c r="ADV108" s="68"/>
      <c r="ADW108" s="1"/>
      <c r="ADX108" s="73"/>
      <c r="ADY108" s="74"/>
      <c r="AEA108" s="75"/>
      <c r="AED108" s="75"/>
      <c r="AEE108" s="72"/>
      <c r="AEF108" s="68"/>
      <c r="AEG108" s="1"/>
      <c r="AEH108" s="73"/>
      <c r="AEI108" s="74"/>
      <c r="AEK108" s="75"/>
      <c r="AEN108" s="75"/>
      <c r="AEO108" s="72"/>
      <c r="AEP108" s="68"/>
      <c r="AEQ108" s="1"/>
      <c r="AER108" s="73"/>
      <c r="AES108" s="74"/>
      <c r="AEU108" s="75"/>
      <c r="AEX108" s="75"/>
      <c r="AEY108" s="72"/>
      <c r="AEZ108" s="68"/>
      <c r="AFA108" s="1"/>
      <c r="AFB108" s="73"/>
      <c r="AFC108" s="74"/>
      <c r="AFE108" s="75"/>
      <c r="AFH108" s="75"/>
      <c r="AFI108" s="72"/>
      <c r="AFJ108" s="68"/>
      <c r="AFK108" s="1"/>
      <c r="AFL108" s="73"/>
      <c r="AFM108" s="74"/>
      <c r="AFO108" s="75"/>
      <c r="AFR108" s="75"/>
      <c r="AFS108" s="72"/>
      <c r="AFT108" s="68"/>
      <c r="AFU108" s="1"/>
      <c r="AFV108" s="73"/>
      <c r="AFW108" s="74"/>
      <c r="AFY108" s="75"/>
      <c r="AGB108" s="75"/>
      <c r="AGC108" s="72"/>
      <c r="AGD108" s="68"/>
      <c r="AGE108" s="1"/>
      <c r="AGF108" s="73"/>
      <c r="AGG108" s="74"/>
      <c r="AGI108" s="75"/>
      <c r="AGL108" s="75"/>
      <c r="AGM108" s="72"/>
      <c r="AGN108" s="68"/>
      <c r="AGO108" s="1"/>
      <c r="AGP108" s="73"/>
      <c r="AGQ108" s="74"/>
      <c r="AGS108" s="75"/>
      <c r="AGV108" s="75"/>
      <c r="AGW108" s="72"/>
      <c r="AGX108" s="68"/>
      <c r="AGY108" s="1"/>
      <c r="AGZ108" s="73"/>
      <c r="AHA108" s="74"/>
      <c r="AHC108" s="75"/>
      <c r="AHF108" s="75"/>
      <c r="AHG108" s="72"/>
      <c r="AHH108" s="68"/>
      <c r="AHI108" s="1"/>
      <c r="AHJ108" s="73"/>
      <c r="AHK108" s="74"/>
      <c r="AHM108" s="75"/>
      <c r="AHP108" s="75"/>
      <c r="AHQ108" s="72"/>
      <c r="AHR108" s="68"/>
      <c r="AHS108" s="1"/>
      <c r="AHT108" s="73"/>
      <c r="AHU108" s="74"/>
      <c r="AHW108" s="75"/>
      <c r="AHZ108" s="75"/>
      <c r="AIA108" s="72"/>
      <c r="AIB108" s="68"/>
      <c r="AIC108" s="1"/>
      <c r="AID108" s="73"/>
      <c r="AIE108" s="74"/>
      <c r="AIG108" s="75"/>
      <c r="AIJ108" s="75"/>
      <c r="AIK108" s="72"/>
      <c r="AIL108" s="68"/>
      <c r="AIM108" s="1"/>
      <c r="AIN108" s="73"/>
      <c r="AIO108" s="74"/>
      <c r="AIQ108" s="75"/>
      <c r="AIT108" s="75"/>
      <c r="AIU108" s="72"/>
      <c r="AIV108" s="68"/>
      <c r="AIW108" s="1"/>
      <c r="AIX108" s="73"/>
      <c r="AIY108" s="74"/>
      <c r="AJA108" s="75"/>
      <c r="AJD108" s="75"/>
      <c r="AJE108" s="72"/>
      <c r="AJF108" s="68"/>
      <c r="AJG108" s="1"/>
      <c r="AJH108" s="73"/>
      <c r="AJI108" s="74"/>
      <c r="AJK108" s="75"/>
      <c r="AJN108" s="75"/>
      <c r="AJO108" s="72"/>
      <c r="AJP108" s="68"/>
      <c r="AJQ108" s="1"/>
      <c r="AJR108" s="73"/>
      <c r="AJS108" s="74"/>
      <c r="AJU108" s="75"/>
      <c r="AJX108" s="75"/>
      <c r="AJY108" s="72"/>
      <c r="AJZ108" s="68"/>
      <c r="AKA108" s="1"/>
      <c r="AKB108" s="73"/>
      <c r="AKC108" s="74"/>
      <c r="AKE108" s="75"/>
      <c r="AKH108" s="75"/>
      <c r="AKI108" s="72"/>
      <c r="AKJ108" s="68"/>
      <c r="AKK108" s="1"/>
      <c r="AKL108" s="73"/>
      <c r="AKM108" s="74"/>
      <c r="AKO108" s="75"/>
      <c r="AKR108" s="75"/>
      <c r="AKS108" s="72"/>
      <c r="AKT108" s="68"/>
      <c r="AKU108" s="1"/>
      <c r="AKV108" s="73"/>
      <c r="AKW108" s="74"/>
      <c r="AKY108" s="75"/>
      <c r="ALB108" s="75"/>
      <c r="ALC108" s="72"/>
      <c r="ALD108" s="68"/>
      <c r="ALE108" s="1"/>
      <c r="ALF108" s="73"/>
      <c r="ALG108" s="74"/>
      <c r="ALI108" s="75"/>
      <c r="ALL108" s="75"/>
      <c r="ALM108" s="72"/>
      <c r="ALN108" s="68"/>
      <c r="ALO108" s="1"/>
      <c r="ALP108" s="73"/>
      <c r="ALQ108" s="74"/>
      <c r="ALS108" s="75"/>
      <c r="ALV108" s="75"/>
      <c r="ALW108" s="72"/>
      <c r="ALX108" s="68"/>
      <c r="ALY108" s="1"/>
      <c r="ALZ108" s="73"/>
      <c r="AMA108" s="74"/>
      <c r="AMC108" s="75"/>
      <c r="AMF108" s="75"/>
      <c r="AMG108" s="72"/>
      <c r="AMH108" s="68"/>
      <c r="AMI108" s="1"/>
      <c r="AMJ108" s="73"/>
      <c r="AMK108" s="74"/>
      <c r="AMM108" s="75"/>
      <c r="AMP108" s="75"/>
      <c r="AMQ108" s="72"/>
      <c r="AMR108" s="68"/>
      <c r="AMS108" s="1"/>
      <c r="AMT108" s="73"/>
      <c r="AMU108" s="74"/>
      <c r="AMW108" s="75"/>
      <c r="AMZ108" s="75"/>
      <c r="ANA108" s="72"/>
      <c r="ANB108" s="68"/>
      <c r="ANC108" s="1"/>
      <c r="AND108" s="73"/>
      <c r="ANE108" s="74"/>
      <c r="ANG108" s="75"/>
      <c r="ANJ108" s="75"/>
      <c r="ANK108" s="72"/>
      <c r="ANL108" s="68"/>
      <c r="ANM108" s="1"/>
      <c r="ANN108" s="73"/>
      <c r="ANO108" s="74"/>
      <c r="ANQ108" s="75"/>
      <c r="ANT108" s="75"/>
      <c r="ANU108" s="72"/>
      <c r="ANV108" s="68"/>
      <c r="ANW108" s="1"/>
      <c r="ANX108" s="73"/>
      <c r="ANY108" s="74"/>
      <c r="AOA108" s="75"/>
      <c r="AOD108" s="75"/>
      <c r="AOE108" s="72"/>
      <c r="AOF108" s="68"/>
      <c r="AOG108" s="1"/>
      <c r="AOH108" s="73"/>
      <c r="AOI108" s="74"/>
      <c r="AOK108" s="75"/>
      <c r="AON108" s="75"/>
      <c r="AOO108" s="72"/>
      <c r="AOP108" s="68"/>
      <c r="AOQ108" s="1"/>
      <c r="AOR108" s="73"/>
      <c r="AOS108" s="74"/>
      <c r="AOU108" s="75"/>
      <c r="AOX108" s="75"/>
      <c r="AOY108" s="72"/>
      <c r="AOZ108" s="68"/>
      <c r="APA108" s="1"/>
      <c r="APB108" s="73"/>
      <c r="APC108" s="74"/>
      <c r="APE108" s="75"/>
      <c r="APH108" s="75"/>
      <c r="API108" s="72"/>
      <c r="APJ108" s="68"/>
      <c r="APK108" s="1"/>
      <c r="APL108" s="73"/>
      <c r="APM108" s="74"/>
      <c r="APO108" s="75"/>
      <c r="APR108" s="75"/>
      <c r="APS108" s="72"/>
      <c r="APT108" s="68"/>
      <c r="APU108" s="1"/>
      <c r="APV108" s="73"/>
      <c r="APW108" s="74"/>
      <c r="APY108" s="75"/>
      <c r="AQB108" s="75"/>
      <c r="AQC108" s="72"/>
      <c r="AQD108" s="68"/>
      <c r="AQE108" s="1"/>
      <c r="AQF108" s="73"/>
      <c r="AQG108" s="74"/>
      <c r="AQI108" s="75"/>
      <c r="AQL108" s="75"/>
      <c r="AQM108" s="72"/>
      <c r="AQN108" s="68"/>
      <c r="AQO108" s="1"/>
      <c r="AQP108" s="73"/>
      <c r="AQQ108" s="74"/>
      <c r="AQS108" s="75"/>
      <c r="AQV108" s="75"/>
      <c r="AQW108" s="72"/>
      <c r="AQX108" s="68"/>
      <c r="AQY108" s="1"/>
      <c r="AQZ108" s="73"/>
      <c r="ARA108" s="74"/>
      <c r="ARC108" s="75"/>
      <c r="ARF108" s="75"/>
      <c r="ARG108" s="72"/>
      <c r="ARH108" s="68"/>
      <c r="ARI108" s="1"/>
      <c r="ARJ108" s="73"/>
      <c r="ARK108" s="74"/>
      <c r="ARM108" s="75"/>
      <c r="ARP108" s="75"/>
      <c r="ARQ108" s="72"/>
      <c r="ARR108" s="68"/>
      <c r="ARS108" s="1"/>
      <c r="ART108" s="73"/>
      <c r="ARU108" s="74"/>
      <c r="ARW108" s="75"/>
      <c r="ARZ108" s="75"/>
      <c r="ASA108" s="72"/>
      <c r="ASB108" s="68"/>
      <c r="ASC108" s="1"/>
      <c r="ASD108" s="73"/>
      <c r="ASE108" s="74"/>
      <c r="ASG108" s="75"/>
      <c r="ASJ108" s="75"/>
      <c r="ASK108" s="72"/>
      <c r="ASL108" s="68"/>
      <c r="ASM108" s="1"/>
      <c r="ASN108" s="73"/>
      <c r="ASO108" s="74"/>
      <c r="ASQ108" s="75"/>
      <c r="AST108" s="75"/>
      <c r="ASU108" s="72"/>
      <c r="ASV108" s="68"/>
      <c r="ASW108" s="1"/>
      <c r="ASX108" s="73"/>
      <c r="ASY108" s="74"/>
      <c r="ATA108" s="75"/>
      <c r="ATD108" s="75"/>
      <c r="ATE108" s="72"/>
      <c r="ATF108" s="68"/>
      <c r="ATG108" s="1"/>
      <c r="ATH108" s="73"/>
      <c r="ATI108" s="74"/>
      <c r="ATK108" s="75"/>
      <c r="ATN108" s="75"/>
      <c r="ATO108" s="72"/>
      <c r="ATP108" s="68"/>
      <c r="ATQ108" s="1"/>
      <c r="ATR108" s="73"/>
      <c r="ATS108" s="74"/>
      <c r="ATU108" s="75"/>
      <c r="ATX108" s="75"/>
      <c r="ATY108" s="72"/>
      <c r="ATZ108" s="68"/>
      <c r="AUA108" s="1"/>
      <c r="AUB108" s="73"/>
      <c r="AUC108" s="74"/>
      <c r="AUE108" s="75"/>
      <c r="AUH108" s="75"/>
      <c r="AUI108" s="72"/>
      <c r="AUJ108" s="68"/>
      <c r="AUK108" s="1"/>
      <c r="AUL108" s="73"/>
      <c r="AUM108" s="74"/>
      <c r="AUO108" s="75"/>
      <c r="AUR108" s="75"/>
      <c r="AUS108" s="72"/>
      <c r="AUT108" s="68"/>
      <c r="AUU108" s="1"/>
      <c r="AUV108" s="73"/>
      <c r="AUW108" s="74"/>
      <c r="AUY108" s="75"/>
      <c r="AVB108" s="75"/>
      <c r="AVC108" s="72"/>
      <c r="AVD108" s="68"/>
      <c r="AVE108" s="1"/>
      <c r="AVF108" s="73"/>
      <c r="AVG108" s="74"/>
      <c r="AVI108" s="75"/>
      <c r="AVL108" s="75"/>
      <c r="AVM108" s="72"/>
      <c r="AVN108" s="68"/>
      <c r="AVO108" s="1"/>
      <c r="AVP108" s="73"/>
      <c r="AVQ108" s="74"/>
      <c r="AVS108" s="75"/>
      <c r="AVV108" s="75"/>
      <c r="AVW108" s="72"/>
      <c r="AVX108" s="68"/>
      <c r="AVY108" s="1"/>
      <c r="AVZ108" s="73"/>
      <c r="AWA108" s="74"/>
      <c r="AWC108" s="75"/>
      <c r="AWF108" s="75"/>
      <c r="AWG108" s="72"/>
      <c r="AWH108" s="68"/>
      <c r="AWI108" s="1"/>
      <c r="AWJ108" s="73"/>
      <c r="AWK108" s="74"/>
      <c r="AWM108" s="75"/>
      <c r="AWP108" s="75"/>
      <c r="AWQ108" s="72"/>
      <c r="AWR108" s="68"/>
      <c r="AWS108" s="1"/>
      <c r="AWT108" s="73"/>
      <c r="AWU108" s="74"/>
      <c r="AWW108" s="75"/>
      <c r="AWZ108" s="75"/>
      <c r="AXA108" s="72"/>
      <c r="AXB108" s="68"/>
      <c r="AXC108" s="1"/>
      <c r="AXD108" s="73"/>
      <c r="AXE108" s="74"/>
      <c r="AXG108" s="75"/>
      <c r="AXJ108" s="75"/>
      <c r="AXK108" s="72"/>
      <c r="AXL108" s="68"/>
      <c r="AXM108" s="1"/>
      <c r="AXN108" s="73"/>
      <c r="AXO108" s="74"/>
      <c r="AXQ108" s="75"/>
      <c r="AXT108" s="75"/>
      <c r="AXU108" s="72"/>
      <c r="AXV108" s="68"/>
      <c r="AXW108" s="1"/>
      <c r="AXX108" s="73"/>
      <c r="AXY108" s="74"/>
      <c r="AYA108" s="75"/>
      <c r="AYD108" s="75"/>
      <c r="AYE108" s="72"/>
      <c r="AYF108" s="68"/>
      <c r="AYG108" s="1"/>
      <c r="AYH108" s="73"/>
      <c r="AYI108" s="74"/>
      <c r="AYK108" s="75"/>
      <c r="AYN108" s="75"/>
      <c r="AYO108" s="72"/>
      <c r="AYP108" s="68"/>
      <c r="AYQ108" s="1"/>
      <c r="AYR108" s="73"/>
      <c r="AYS108" s="74"/>
      <c r="AYU108" s="75"/>
      <c r="AYX108" s="75"/>
      <c r="AYY108" s="72"/>
      <c r="AYZ108" s="68"/>
      <c r="AZA108" s="1"/>
      <c r="AZB108" s="73"/>
      <c r="AZC108" s="74"/>
      <c r="AZE108" s="75"/>
      <c r="AZH108" s="75"/>
      <c r="AZI108" s="72"/>
      <c r="AZJ108" s="68"/>
      <c r="AZK108" s="1"/>
      <c r="AZL108" s="73"/>
      <c r="AZM108" s="74"/>
      <c r="AZO108" s="75"/>
      <c r="AZR108" s="75"/>
      <c r="AZS108" s="72"/>
      <c r="AZT108" s="68"/>
      <c r="AZU108" s="1"/>
      <c r="AZV108" s="73"/>
      <c r="AZW108" s="74"/>
      <c r="AZY108" s="75"/>
      <c r="BAB108" s="75"/>
      <c r="BAC108" s="72"/>
      <c r="BAD108" s="68"/>
      <c r="BAE108" s="1"/>
      <c r="BAF108" s="73"/>
      <c r="BAG108" s="74"/>
      <c r="BAI108" s="75"/>
      <c r="BAL108" s="75"/>
      <c r="BAM108" s="72"/>
      <c r="BAN108" s="68"/>
      <c r="BAO108" s="1"/>
      <c r="BAP108" s="73"/>
      <c r="BAQ108" s="74"/>
      <c r="BAS108" s="75"/>
      <c r="BAV108" s="75"/>
      <c r="BAW108" s="72"/>
      <c r="BAX108" s="68"/>
      <c r="BAY108" s="1"/>
      <c r="BAZ108" s="73"/>
      <c r="BBA108" s="74"/>
      <c r="BBC108" s="75"/>
      <c r="BBF108" s="75"/>
      <c r="BBG108" s="72"/>
      <c r="BBH108" s="68"/>
      <c r="BBI108" s="1"/>
      <c r="BBJ108" s="73"/>
      <c r="BBK108" s="74"/>
      <c r="BBM108" s="75"/>
      <c r="BBP108" s="75"/>
      <c r="BBQ108" s="72"/>
      <c r="BBR108" s="68"/>
      <c r="BBS108" s="1"/>
      <c r="BBT108" s="73"/>
      <c r="BBU108" s="74"/>
      <c r="BBW108" s="75"/>
      <c r="BBZ108" s="75"/>
      <c r="BCA108" s="72"/>
      <c r="BCB108" s="68"/>
      <c r="BCC108" s="1"/>
      <c r="BCD108" s="73"/>
      <c r="BCE108" s="74"/>
      <c r="BCG108" s="75"/>
      <c r="BCJ108" s="75"/>
      <c r="BCK108" s="72"/>
      <c r="BCL108" s="68"/>
      <c r="BCM108" s="1"/>
      <c r="BCN108" s="73"/>
      <c r="BCO108" s="74"/>
      <c r="BCQ108" s="75"/>
      <c r="BCT108" s="75"/>
      <c r="BCU108" s="72"/>
      <c r="BCV108" s="68"/>
      <c r="BCW108" s="1"/>
      <c r="BCX108" s="73"/>
      <c r="BCY108" s="74"/>
      <c r="BDA108" s="75"/>
      <c r="BDD108" s="75"/>
      <c r="BDE108" s="72"/>
      <c r="BDF108" s="68"/>
      <c r="BDG108" s="1"/>
      <c r="BDH108" s="73"/>
      <c r="BDI108" s="74"/>
      <c r="BDK108" s="75"/>
      <c r="BDN108" s="75"/>
      <c r="BDO108" s="72"/>
      <c r="BDP108" s="68"/>
      <c r="BDQ108" s="1"/>
      <c r="BDR108" s="73"/>
      <c r="BDS108" s="74"/>
      <c r="BDU108" s="75"/>
      <c r="BDX108" s="75"/>
      <c r="BDY108" s="72"/>
      <c r="BDZ108" s="68"/>
      <c r="BEA108" s="1"/>
      <c r="BEB108" s="73"/>
      <c r="BEC108" s="74"/>
      <c r="BEE108" s="75"/>
      <c r="BEH108" s="75"/>
      <c r="BEI108" s="72"/>
      <c r="BEJ108" s="68"/>
      <c r="BEK108" s="1"/>
      <c r="BEL108" s="73"/>
      <c r="BEM108" s="74"/>
      <c r="BEO108" s="75"/>
      <c r="BER108" s="75"/>
      <c r="BES108" s="72"/>
      <c r="BET108" s="68"/>
      <c r="BEU108" s="1"/>
      <c r="BEV108" s="73"/>
      <c r="BEW108" s="74"/>
      <c r="BEY108" s="75"/>
      <c r="BFB108" s="75"/>
      <c r="BFC108" s="72"/>
      <c r="BFD108" s="68"/>
      <c r="BFE108" s="1"/>
      <c r="BFF108" s="73"/>
      <c r="BFG108" s="74"/>
      <c r="BFI108" s="75"/>
      <c r="BFL108" s="75"/>
      <c r="BFM108" s="72"/>
      <c r="BFN108" s="68"/>
      <c r="BFO108" s="1"/>
      <c r="BFP108" s="73"/>
      <c r="BFQ108" s="74"/>
      <c r="BFS108" s="75"/>
      <c r="BFV108" s="75"/>
      <c r="BFW108" s="72"/>
      <c r="BFX108" s="68"/>
      <c r="BFY108" s="1"/>
      <c r="BFZ108" s="73"/>
      <c r="BGA108" s="74"/>
      <c r="BGC108" s="75"/>
      <c r="BGF108" s="75"/>
      <c r="BGG108" s="72"/>
      <c r="BGH108" s="68"/>
      <c r="BGI108" s="1"/>
      <c r="BGJ108" s="73"/>
      <c r="BGK108" s="74"/>
      <c r="BGM108" s="75"/>
      <c r="BGP108" s="75"/>
      <c r="BGQ108" s="72"/>
      <c r="BGR108" s="68"/>
      <c r="BGS108" s="1"/>
      <c r="BGT108" s="73"/>
      <c r="BGU108" s="74"/>
      <c r="BGW108" s="75"/>
      <c r="BGZ108" s="75"/>
      <c r="BHA108" s="72"/>
      <c r="BHB108" s="68"/>
      <c r="BHC108" s="1"/>
      <c r="BHD108" s="73"/>
      <c r="BHE108" s="74"/>
      <c r="BHG108" s="75"/>
      <c r="BHJ108" s="75"/>
      <c r="BHK108" s="72"/>
      <c r="BHL108" s="68"/>
      <c r="BHM108" s="1"/>
      <c r="BHN108" s="73"/>
      <c r="BHO108" s="74"/>
      <c r="BHQ108" s="75"/>
      <c r="BHT108" s="75"/>
      <c r="BHU108" s="72"/>
      <c r="BHV108" s="68"/>
      <c r="BHW108" s="1"/>
      <c r="BHX108" s="73"/>
      <c r="BHY108" s="74"/>
      <c r="BIA108" s="75"/>
      <c r="BID108" s="75"/>
      <c r="BIE108" s="72"/>
      <c r="BIF108" s="68"/>
      <c r="BIG108" s="1"/>
      <c r="BIH108" s="73"/>
      <c r="BII108" s="74"/>
      <c r="BIK108" s="75"/>
      <c r="BIN108" s="75"/>
      <c r="BIO108" s="72"/>
      <c r="BIP108" s="68"/>
      <c r="BIQ108" s="1"/>
      <c r="BIR108" s="73"/>
      <c r="BIS108" s="74"/>
      <c r="BIU108" s="75"/>
      <c r="BIX108" s="75"/>
      <c r="BIY108" s="72"/>
      <c r="BIZ108" s="68"/>
      <c r="BJA108" s="1"/>
      <c r="BJB108" s="73"/>
      <c r="BJC108" s="74"/>
      <c r="BJE108" s="75"/>
      <c r="BJH108" s="75"/>
      <c r="BJI108" s="72"/>
      <c r="BJJ108" s="68"/>
      <c r="BJK108" s="1"/>
      <c r="BJL108" s="73"/>
      <c r="BJM108" s="74"/>
      <c r="BJO108" s="75"/>
      <c r="BJR108" s="75"/>
      <c r="BJS108" s="72"/>
      <c r="BJT108" s="68"/>
      <c r="BJU108" s="1"/>
      <c r="BJV108" s="73"/>
      <c r="BJW108" s="74"/>
      <c r="BJY108" s="75"/>
      <c r="BKB108" s="75"/>
      <c r="BKC108" s="72"/>
      <c r="BKD108" s="68"/>
      <c r="BKE108" s="1"/>
      <c r="BKF108" s="73"/>
      <c r="BKG108" s="74"/>
      <c r="BKI108" s="75"/>
      <c r="BKL108" s="75"/>
      <c r="BKM108" s="72"/>
      <c r="BKN108" s="68"/>
      <c r="BKO108" s="1"/>
      <c r="BKP108" s="73"/>
      <c r="BKQ108" s="74"/>
      <c r="BKS108" s="75"/>
      <c r="BKV108" s="75"/>
      <c r="BKW108" s="72"/>
      <c r="BKX108" s="68"/>
      <c r="BKY108" s="1"/>
      <c r="BKZ108" s="73"/>
      <c r="BLA108" s="74"/>
      <c r="BLC108" s="75"/>
      <c r="BLF108" s="75"/>
      <c r="BLG108" s="72"/>
      <c r="BLH108" s="68"/>
      <c r="BLI108" s="1"/>
      <c r="BLJ108" s="73"/>
      <c r="BLK108" s="74"/>
      <c r="BLM108" s="75"/>
      <c r="BLP108" s="75"/>
      <c r="BLQ108" s="72"/>
      <c r="BLR108" s="68"/>
      <c r="BLS108" s="1"/>
      <c r="BLT108" s="73"/>
      <c r="BLU108" s="74"/>
      <c r="BLW108" s="75"/>
      <c r="BLZ108" s="75"/>
      <c r="BMA108" s="72"/>
      <c r="BMB108" s="68"/>
      <c r="BMC108" s="1"/>
      <c r="BMD108" s="73"/>
      <c r="BME108" s="74"/>
      <c r="BMG108" s="75"/>
      <c r="BMJ108" s="75"/>
      <c r="BMK108" s="72"/>
      <c r="BML108" s="68"/>
      <c r="BMM108" s="1"/>
      <c r="BMN108" s="73"/>
      <c r="BMO108" s="74"/>
      <c r="BMQ108" s="75"/>
      <c r="BMT108" s="75"/>
      <c r="BMU108" s="72"/>
      <c r="BMV108" s="68"/>
      <c r="BMW108" s="1"/>
      <c r="BMX108" s="73"/>
      <c r="BMY108" s="74"/>
      <c r="BNA108" s="75"/>
      <c r="BND108" s="75"/>
      <c r="BNE108" s="72"/>
      <c r="BNF108" s="68"/>
      <c r="BNG108" s="1"/>
      <c r="BNH108" s="73"/>
      <c r="BNI108" s="74"/>
      <c r="BNK108" s="75"/>
      <c r="BNN108" s="75"/>
      <c r="BNO108" s="72"/>
      <c r="BNP108" s="68"/>
      <c r="BNQ108" s="1"/>
      <c r="BNR108" s="73"/>
      <c r="BNS108" s="74"/>
      <c r="BNU108" s="75"/>
      <c r="BNX108" s="75"/>
      <c r="BNY108" s="72"/>
      <c r="BNZ108" s="68"/>
      <c r="BOA108" s="1"/>
      <c r="BOB108" s="73"/>
      <c r="BOC108" s="74"/>
      <c r="BOE108" s="75"/>
      <c r="BOH108" s="75"/>
      <c r="BOI108" s="72"/>
      <c r="BOJ108" s="68"/>
      <c r="BOK108" s="1"/>
      <c r="BOL108" s="73"/>
      <c r="BOM108" s="74"/>
      <c r="BOO108" s="75"/>
      <c r="BOR108" s="75"/>
      <c r="BOS108" s="72"/>
      <c r="BOT108" s="68"/>
      <c r="BOU108" s="1"/>
      <c r="BOV108" s="73"/>
      <c r="BOW108" s="74"/>
      <c r="BOY108" s="75"/>
      <c r="BPB108" s="75"/>
      <c r="BPC108" s="72"/>
      <c r="BPD108" s="68"/>
      <c r="BPE108" s="1"/>
      <c r="BPF108" s="73"/>
      <c r="BPG108" s="74"/>
      <c r="BPI108" s="75"/>
      <c r="BPL108" s="75"/>
      <c r="BPM108" s="72"/>
      <c r="BPN108" s="68"/>
      <c r="BPO108" s="1"/>
      <c r="BPP108" s="73"/>
      <c r="BPQ108" s="74"/>
      <c r="BPS108" s="75"/>
      <c r="BPV108" s="75"/>
      <c r="BPW108" s="72"/>
      <c r="BPX108" s="68"/>
      <c r="BPY108" s="1"/>
      <c r="BPZ108" s="73"/>
      <c r="BQA108" s="74"/>
      <c r="BQC108" s="75"/>
      <c r="BQF108" s="75"/>
      <c r="BQG108" s="72"/>
      <c r="BQH108" s="68"/>
      <c r="BQI108" s="1"/>
      <c r="BQJ108" s="73"/>
      <c r="BQK108" s="74"/>
      <c r="BQM108" s="75"/>
      <c r="BQP108" s="75"/>
      <c r="BQQ108" s="72"/>
      <c r="BQR108" s="68"/>
      <c r="BQS108" s="1"/>
      <c r="BQT108" s="73"/>
      <c r="BQU108" s="74"/>
      <c r="BQW108" s="75"/>
      <c r="BQZ108" s="75"/>
      <c r="BRA108" s="72"/>
      <c r="BRB108" s="68"/>
      <c r="BRC108" s="1"/>
      <c r="BRD108" s="73"/>
      <c r="BRE108" s="74"/>
      <c r="BRG108" s="75"/>
      <c r="BRJ108" s="75"/>
      <c r="BRK108" s="72"/>
      <c r="BRL108" s="68"/>
      <c r="BRM108" s="1"/>
      <c r="BRN108" s="73"/>
      <c r="BRO108" s="74"/>
      <c r="BRQ108" s="75"/>
      <c r="BRT108" s="75"/>
      <c r="BRU108" s="72"/>
      <c r="BRV108" s="68"/>
      <c r="BRW108" s="1"/>
      <c r="BRX108" s="73"/>
      <c r="BRY108" s="74"/>
      <c r="BSA108" s="75"/>
      <c r="BSD108" s="75"/>
      <c r="BSE108" s="72"/>
      <c r="BSF108" s="68"/>
      <c r="BSG108" s="1"/>
      <c r="BSH108" s="73"/>
      <c r="BSI108" s="74"/>
      <c r="BSK108" s="75"/>
      <c r="BSN108" s="75"/>
      <c r="BSO108" s="72"/>
      <c r="BSP108" s="68"/>
      <c r="BSQ108" s="1"/>
      <c r="BSR108" s="73"/>
      <c r="BSS108" s="74"/>
      <c r="BSU108" s="75"/>
      <c r="BSX108" s="75"/>
      <c r="BSY108" s="72"/>
      <c r="BSZ108" s="68"/>
      <c r="BTA108" s="1"/>
      <c r="BTB108" s="73"/>
      <c r="BTC108" s="74"/>
      <c r="BTE108" s="75"/>
      <c r="BTH108" s="75"/>
      <c r="BTI108" s="72"/>
      <c r="BTJ108" s="68"/>
      <c r="BTK108" s="1"/>
      <c r="BTL108" s="73"/>
      <c r="BTM108" s="74"/>
      <c r="BTO108" s="75"/>
      <c r="BTR108" s="75"/>
      <c r="BTS108" s="72"/>
      <c r="BTT108" s="68"/>
      <c r="BTU108" s="1"/>
      <c r="BTV108" s="73"/>
      <c r="BTW108" s="74"/>
      <c r="BTY108" s="75"/>
      <c r="BUB108" s="75"/>
      <c r="BUC108" s="72"/>
      <c r="BUD108" s="68"/>
      <c r="BUE108" s="1"/>
      <c r="BUF108" s="73"/>
      <c r="BUG108" s="74"/>
      <c r="BUI108" s="75"/>
      <c r="BUL108" s="75"/>
      <c r="BUM108" s="72"/>
      <c r="BUN108" s="68"/>
      <c r="BUO108" s="1"/>
      <c r="BUP108" s="73"/>
      <c r="BUQ108" s="74"/>
      <c r="BUS108" s="75"/>
      <c r="BUV108" s="75"/>
      <c r="BUW108" s="72"/>
      <c r="BUX108" s="68"/>
      <c r="BUY108" s="1"/>
      <c r="BUZ108" s="73"/>
      <c r="BVA108" s="74"/>
      <c r="BVC108" s="75"/>
      <c r="BVF108" s="75"/>
      <c r="BVG108" s="72"/>
      <c r="BVH108" s="68"/>
      <c r="BVI108" s="1"/>
      <c r="BVJ108" s="73"/>
      <c r="BVK108" s="74"/>
      <c r="BVM108" s="75"/>
      <c r="BVP108" s="75"/>
      <c r="BVQ108" s="72"/>
      <c r="BVR108" s="68"/>
      <c r="BVS108" s="1"/>
      <c r="BVT108" s="73"/>
      <c r="BVU108" s="74"/>
      <c r="BVW108" s="75"/>
      <c r="BVZ108" s="75"/>
      <c r="BWA108" s="72"/>
      <c r="BWB108" s="68"/>
      <c r="BWC108" s="1"/>
      <c r="BWD108" s="73"/>
      <c r="BWE108" s="74"/>
      <c r="BWG108" s="75"/>
      <c r="BWJ108" s="75"/>
      <c r="BWK108" s="72"/>
      <c r="BWL108" s="68"/>
      <c r="BWM108" s="1"/>
      <c r="BWN108" s="73"/>
      <c r="BWO108" s="74"/>
      <c r="BWQ108" s="75"/>
      <c r="BWT108" s="75"/>
      <c r="BWU108" s="72"/>
      <c r="BWV108" s="68"/>
      <c r="BWW108" s="1"/>
      <c r="BWX108" s="73"/>
      <c r="BWY108" s="74"/>
      <c r="BXA108" s="75"/>
      <c r="BXD108" s="75"/>
      <c r="BXE108" s="72"/>
      <c r="BXF108" s="68"/>
      <c r="BXG108" s="1"/>
      <c r="BXH108" s="73"/>
      <c r="BXI108" s="74"/>
      <c r="BXK108" s="75"/>
      <c r="BXN108" s="75"/>
      <c r="BXO108" s="72"/>
      <c r="BXP108" s="68"/>
      <c r="BXQ108" s="1"/>
      <c r="BXR108" s="73"/>
      <c r="BXS108" s="74"/>
      <c r="BXU108" s="75"/>
      <c r="BXX108" s="75"/>
      <c r="BXY108" s="72"/>
      <c r="BXZ108" s="68"/>
      <c r="BYA108" s="1"/>
      <c r="BYB108" s="73"/>
      <c r="BYC108" s="74"/>
      <c r="BYE108" s="75"/>
      <c r="BYH108" s="75"/>
      <c r="BYI108" s="72"/>
      <c r="BYJ108" s="68"/>
      <c r="BYK108" s="1"/>
      <c r="BYL108" s="73"/>
      <c r="BYM108" s="74"/>
      <c r="BYO108" s="75"/>
      <c r="BYR108" s="75"/>
      <c r="BYS108" s="72"/>
      <c r="BYT108" s="68"/>
      <c r="BYU108" s="1"/>
      <c r="BYV108" s="73"/>
      <c r="BYW108" s="74"/>
      <c r="BYY108" s="75"/>
      <c r="BZB108" s="75"/>
      <c r="BZC108" s="72"/>
      <c r="BZD108" s="68"/>
      <c r="BZE108" s="1"/>
      <c r="BZF108" s="73"/>
      <c r="BZG108" s="74"/>
      <c r="BZI108" s="75"/>
      <c r="BZL108" s="75"/>
      <c r="BZM108" s="72"/>
      <c r="BZN108" s="68"/>
      <c r="BZO108" s="1"/>
      <c r="BZP108" s="73"/>
      <c r="BZQ108" s="74"/>
      <c r="BZS108" s="75"/>
      <c r="BZV108" s="75"/>
      <c r="BZW108" s="72"/>
      <c r="BZX108" s="68"/>
      <c r="BZY108" s="1"/>
      <c r="BZZ108" s="73"/>
      <c r="CAA108" s="74"/>
      <c r="CAC108" s="75"/>
      <c r="CAF108" s="75"/>
      <c r="CAG108" s="72"/>
      <c r="CAH108" s="68"/>
      <c r="CAI108" s="1"/>
      <c r="CAJ108" s="73"/>
      <c r="CAK108" s="74"/>
      <c r="CAM108" s="75"/>
      <c r="CAP108" s="75"/>
      <c r="CAQ108" s="72"/>
      <c r="CAR108" s="68"/>
      <c r="CAS108" s="1"/>
      <c r="CAT108" s="73"/>
      <c r="CAU108" s="74"/>
      <c r="CAW108" s="75"/>
      <c r="CAZ108" s="75"/>
      <c r="CBA108" s="72"/>
      <c r="CBB108" s="68"/>
      <c r="CBC108" s="1"/>
      <c r="CBD108" s="73"/>
      <c r="CBE108" s="74"/>
      <c r="CBG108" s="75"/>
      <c r="CBJ108" s="75"/>
      <c r="CBK108" s="72"/>
      <c r="CBL108" s="68"/>
      <c r="CBM108" s="1"/>
      <c r="CBN108" s="73"/>
      <c r="CBO108" s="74"/>
      <c r="CBQ108" s="75"/>
      <c r="CBT108" s="75"/>
      <c r="CBU108" s="72"/>
      <c r="CBV108" s="68"/>
      <c r="CBW108" s="1"/>
      <c r="CBX108" s="73"/>
      <c r="CBY108" s="74"/>
      <c r="CCA108" s="75"/>
      <c r="CCD108" s="75"/>
      <c r="CCE108" s="72"/>
      <c r="CCF108" s="68"/>
      <c r="CCG108" s="1"/>
      <c r="CCH108" s="73"/>
      <c r="CCI108" s="74"/>
      <c r="CCK108" s="75"/>
      <c r="CCN108" s="75"/>
      <c r="CCO108" s="72"/>
      <c r="CCP108" s="68"/>
      <c r="CCQ108" s="1"/>
      <c r="CCR108" s="73"/>
      <c r="CCS108" s="74"/>
      <c r="CCU108" s="75"/>
      <c r="CCX108" s="75"/>
      <c r="CCY108" s="72"/>
      <c r="CCZ108" s="68"/>
      <c r="CDA108" s="1"/>
      <c r="CDB108" s="73"/>
      <c r="CDC108" s="74"/>
      <c r="CDE108" s="75"/>
      <c r="CDH108" s="75"/>
      <c r="CDI108" s="72"/>
      <c r="CDJ108" s="68"/>
      <c r="CDK108" s="1"/>
      <c r="CDL108" s="73"/>
      <c r="CDM108" s="74"/>
      <c r="CDO108" s="75"/>
      <c r="CDR108" s="75"/>
      <c r="CDS108" s="72"/>
      <c r="CDT108" s="68"/>
      <c r="CDU108" s="1"/>
      <c r="CDV108" s="73"/>
      <c r="CDW108" s="74"/>
      <c r="CDY108" s="75"/>
      <c r="CEB108" s="75"/>
      <c r="CEC108" s="72"/>
      <c r="CED108" s="68"/>
      <c r="CEE108" s="1"/>
      <c r="CEF108" s="73"/>
      <c r="CEG108" s="74"/>
      <c r="CEI108" s="75"/>
      <c r="CEL108" s="75"/>
      <c r="CEM108" s="72"/>
      <c r="CEN108" s="68"/>
      <c r="CEO108" s="1"/>
      <c r="CEP108" s="73"/>
      <c r="CEQ108" s="74"/>
      <c r="CES108" s="75"/>
      <c r="CEV108" s="75"/>
      <c r="CEW108" s="72"/>
      <c r="CEX108" s="68"/>
      <c r="CEY108" s="1"/>
      <c r="CEZ108" s="73"/>
      <c r="CFA108" s="74"/>
      <c r="CFC108" s="75"/>
      <c r="CFF108" s="75"/>
      <c r="CFG108" s="72"/>
      <c r="CFH108" s="68"/>
      <c r="CFI108" s="1"/>
      <c r="CFJ108" s="73"/>
      <c r="CFK108" s="74"/>
      <c r="CFM108" s="75"/>
      <c r="CFP108" s="75"/>
      <c r="CFQ108" s="72"/>
      <c r="CFR108" s="68"/>
      <c r="CFS108" s="1"/>
      <c r="CFT108" s="73"/>
      <c r="CFU108" s="74"/>
      <c r="CFW108" s="75"/>
      <c r="CFZ108" s="75"/>
      <c r="CGA108" s="72"/>
      <c r="CGB108" s="68"/>
      <c r="CGC108" s="1"/>
      <c r="CGD108" s="73"/>
      <c r="CGE108" s="74"/>
      <c r="CGG108" s="75"/>
      <c r="CGJ108" s="75"/>
      <c r="CGK108" s="72"/>
      <c r="CGL108" s="68"/>
      <c r="CGM108" s="1"/>
      <c r="CGN108" s="73"/>
      <c r="CGO108" s="74"/>
      <c r="CGQ108" s="75"/>
      <c r="CGT108" s="75"/>
      <c r="CGU108" s="72"/>
      <c r="CGV108" s="68"/>
      <c r="CGW108" s="1"/>
      <c r="CGX108" s="73"/>
      <c r="CGY108" s="74"/>
      <c r="CHA108" s="75"/>
      <c r="CHD108" s="75"/>
      <c r="CHE108" s="72"/>
      <c r="CHF108" s="68"/>
      <c r="CHG108" s="1"/>
      <c r="CHH108" s="73"/>
      <c r="CHI108" s="74"/>
      <c r="CHK108" s="75"/>
      <c r="CHN108" s="75"/>
      <c r="CHO108" s="72"/>
      <c r="CHP108" s="68"/>
      <c r="CHQ108" s="1"/>
      <c r="CHR108" s="73"/>
      <c r="CHS108" s="74"/>
      <c r="CHU108" s="75"/>
      <c r="CHX108" s="75"/>
      <c r="CHY108" s="72"/>
      <c r="CHZ108" s="68"/>
      <c r="CIA108" s="1"/>
      <c r="CIB108" s="73"/>
      <c r="CIC108" s="74"/>
      <c r="CIE108" s="75"/>
      <c r="CIH108" s="75"/>
      <c r="CII108" s="72"/>
      <c r="CIJ108" s="68"/>
      <c r="CIK108" s="1"/>
      <c r="CIL108" s="73"/>
      <c r="CIM108" s="74"/>
      <c r="CIO108" s="75"/>
      <c r="CIR108" s="75"/>
      <c r="CIS108" s="72"/>
      <c r="CIT108" s="68"/>
      <c r="CIU108" s="1"/>
      <c r="CIV108" s="73"/>
      <c r="CIW108" s="74"/>
      <c r="CIY108" s="75"/>
      <c r="CJB108" s="75"/>
      <c r="CJC108" s="72"/>
      <c r="CJD108" s="68"/>
      <c r="CJE108" s="1"/>
      <c r="CJF108" s="73"/>
      <c r="CJG108" s="74"/>
      <c r="CJI108" s="75"/>
      <c r="CJL108" s="75"/>
      <c r="CJM108" s="72"/>
      <c r="CJN108" s="68"/>
      <c r="CJO108" s="1"/>
      <c r="CJP108" s="73"/>
      <c r="CJQ108" s="74"/>
      <c r="CJS108" s="75"/>
      <c r="CJV108" s="75"/>
      <c r="CJW108" s="72"/>
      <c r="CJX108" s="68"/>
      <c r="CJY108" s="1"/>
      <c r="CJZ108" s="73"/>
      <c r="CKA108" s="74"/>
      <c r="CKC108" s="75"/>
      <c r="CKF108" s="75"/>
      <c r="CKG108" s="72"/>
      <c r="CKH108" s="68"/>
      <c r="CKI108" s="1"/>
      <c r="CKJ108" s="73"/>
      <c r="CKK108" s="74"/>
      <c r="CKM108" s="75"/>
      <c r="CKP108" s="75"/>
      <c r="CKQ108" s="72"/>
      <c r="CKR108" s="68"/>
      <c r="CKS108" s="1"/>
      <c r="CKT108" s="73"/>
      <c r="CKU108" s="74"/>
      <c r="CKW108" s="75"/>
      <c r="CKZ108" s="75"/>
      <c r="CLA108" s="72"/>
      <c r="CLB108" s="68"/>
      <c r="CLC108" s="1"/>
      <c r="CLD108" s="73"/>
      <c r="CLE108" s="74"/>
      <c r="CLG108" s="75"/>
      <c r="CLJ108" s="75"/>
      <c r="CLK108" s="72"/>
      <c r="CLL108" s="68"/>
      <c r="CLM108" s="1"/>
      <c r="CLN108" s="73"/>
      <c r="CLO108" s="74"/>
      <c r="CLQ108" s="75"/>
      <c r="CLT108" s="75"/>
      <c r="CLU108" s="72"/>
      <c r="CLV108" s="68"/>
      <c r="CLW108" s="1"/>
      <c r="CLX108" s="73"/>
      <c r="CLY108" s="74"/>
      <c r="CMA108" s="75"/>
      <c r="CMD108" s="75"/>
      <c r="CME108" s="72"/>
      <c r="CMF108" s="68"/>
      <c r="CMG108" s="1"/>
      <c r="CMH108" s="73"/>
      <c r="CMI108" s="74"/>
      <c r="CMK108" s="75"/>
      <c r="CMN108" s="75"/>
      <c r="CMO108" s="72"/>
      <c r="CMP108" s="68"/>
      <c r="CMQ108" s="1"/>
      <c r="CMR108" s="73"/>
      <c r="CMS108" s="74"/>
      <c r="CMU108" s="75"/>
      <c r="CMX108" s="75"/>
      <c r="CMY108" s="72"/>
      <c r="CMZ108" s="68"/>
      <c r="CNA108" s="1"/>
      <c r="CNB108" s="73"/>
      <c r="CNC108" s="74"/>
      <c r="CNE108" s="75"/>
      <c r="CNH108" s="75"/>
      <c r="CNI108" s="72"/>
      <c r="CNJ108" s="68"/>
      <c r="CNK108" s="1"/>
      <c r="CNL108" s="73"/>
      <c r="CNM108" s="74"/>
      <c r="CNO108" s="75"/>
      <c r="CNR108" s="75"/>
      <c r="CNS108" s="72"/>
      <c r="CNT108" s="68"/>
      <c r="CNU108" s="1"/>
      <c r="CNV108" s="73"/>
      <c r="CNW108" s="74"/>
      <c r="CNY108" s="75"/>
      <c r="COB108" s="75"/>
      <c r="COC108" s="72"/>
      <c r="COD108" s="68"/>
      <c r="COE108" s="1"/>
      <c r="COF108" s="73"/>
      <c r="COG108" s="74"/>
      <c r="COI108" s="75"/>
      <c r="COL108" s="75"/>
      <c r="COM108" s="72"/>
      <c r="CON108" s="68"/>
      <c r="COO108" s="1"/>
      <c r="COP108" s="73"/>
      <c r="COQ108" s="74"/>
      <c r="COS108" s="75"/>
      <c r="COV108" s="75"/>
      <c r="COW108" s="72"/>
      <c r="COX108" s="68"/>
      <c r="COY108" s="1"/>
      <c r="COZ108" s="73"/>
      <c r="CPA108" s="74"/>
      <c r="CPC108" s="75"/>
      <c r="CPF108" s="75"/>
      <c r="CPG108" s="72"/>
      <c r="CPH108" s="68"/>
      <c r="CPI108" s="1"/>
      <c r="CPJ108" s="73"/>
      <c r="CPK108" s="74"/>
      <c r="CPM108" s="75"/>
      <c r="CPP108" s="75"/>
      <c r="CPQ108" s="72"/>
      <c r="CPR108" s="68"/>
      <c r="CPS108" s="1"/>
      <c r="CPT108" s="73"/>
      <c r="CPU108" s="74"/>
      <c r="CPW108" s="75"/>
      <c r="CPZ108" s="75"/>
      <c r="CQA108" s="72"/>
      <c r="CQB108" s="68"/>
      <c r="CQC108" s="1"/>
      <c r="CQD108" s="73"/>
      <c r="CQE108" s="74"/>
      <c r="CQG108" s="75"/>
      <c r="CQJ108" s="75"/>
      <c r="CQK108" s="72"/>
      <c r="CQL108" s="68"/>
      <c r="CQM108" s="1"/>
      <c r="CQN108" s="73"/>
      <c r="CQO108" s="74"/>
      <c r="CQQ108" s="75"/>
      <c r="CQT108" s="75"/>
      <c r="CQU108" s="72"/>
      <c r="CQV108" s="68"/>
      <c r="CQW108" s="1"/>
      <c r="CQX108" s="73"/>
      <c r="CQY108" s="74"/>
      <c r="CRA108" s="75"/>
      <c r="CRD108" s="75"/>
      <c r="CRE108" s="72"/>
      <c r="CRF108" s="68"/>
      <c r="CRG108" s="1"/>
      <c r="CRH108" s="73"/>
      <c r="CRI108" s="74"/>
      <c r="CRK108" s="75"/>
      <c r="CRN108" s="75"/>
      <c r="CRO108" s="72"/>
      <c r="CRP108" s="68"/>
      <c r="CRQ108" s="1"/>
      <c r="CRR108" s="73"/>
      <c r="CRS108" s="74"/>
      <c r="CRU108" s="75"/>
      <c r="CRX108" s="75"/>
      <c r="CRY108" s="72"/>
      <c r="CRZ108" s="68"/>
      <c r="CSA108" s="1"/>
      <c r="CSB108" s="73"/>
      <c r="CSC108" s="74"/>
      <c r="CSE108" s="75"/>
      <c r="CSH108" s="75"/>
      <c r="CSI108" s="72"/>
      <c r="CSJ108" s="68"/>
      <c r="CSK108" s="1"/>
      <c r="CSL108" s="73"/>
      <c r="CSM108" s="74"/>
      <c r="CSO108" s="75"/>
      <c r="CSR108" s="75"/>
      <c r="CSS108" s="72"/>
      <c r="CST108" s="68"/>
      <c r="CSU108" s="1"/>
      <c r="CSV108" s="73"/>
      <c r="CSW108" s="74"/>
      <c r="CSY108" s="75"/>
      <c r="CTB108" s="75"/>
      <c r="CTC108" s="72"/>
      <c r="CTD108" s="68"/>
      <c r="CTE108" s="1"/>
      <c r="CTF108" s="73"/>
      <c r="CTG108" s="74"/>
      <c r="CTI108" s="75"/>
      <c r="CTL108" s="75"/>
      <c r="CTM108" s="72"/>
      <c r="CTN108" s="68"/>
      <c r="CTO108" s="1"/>
      <c r="CTP108" s="73"/>
      <c r="CTQ108" s="74"/>
      <c r="CTS108" s="75"/>
      <c r="CTV108" s="75"/>
      <c r="CTW108" s="72"/>
      <c r="CTX108" s="68"/>
      <c r="CTY108" s="1"/>
      <c r="CTZ108" s="73"/>
      <c r="CUA108" s="74"/>
      <c r="CUC108" s="75"/>
      <c r="CUF108" s="75"/>
      <c r="CUG108" s="72"/>
      <c r="CUH108" s="68"/>
      <c r="CUI108" s="1"/>
      <c r="CUJ108" s="73"/>
      <c r="CUK108" s="74"/>
      <c r="CUM108" s="75"/>
      <c r="CUP108" s="75"/>
      <c r="CUQ108" s="72"/>
      <c r="CUR108" s="68"/>
      <c r="CUS108" s="1"/>
      <c r="CUT108" s="73"/>
      <c r="CUU108" s="74"/>
      <c r="CUW108" s="75"/>
      <c r="CUZ108" s="75"/>
      <c r="CVA108" s="72"/>
      <c r="CVB108" s="68"/>
      <c r="CVC108" s="1"/>
      <c r="CVD108" s="73"/>
      <c r="CVE108" s="74"/>
      <c r="CVG108" s="75"/>
      <c r="CVJ108" s="75"/>
      <c r="CVK108" s="72"/>
      <c r="CVL108" s="68"/>
      <c r="CVM108" s="1"/>
      <c r="CVN108" s="73"/>
      <c r="CVO108" s="74"/>
      <c r="CVQ108" s="75"/>
      <c r="CVT108" s="75"/>
      <c r="CVU108" s="72"/>
      <c r="CVV108" s="68"/>
      <c r="CVW108" s="1"/>
      <c r="CVX108" s="73"/>
      <c r="CVY108" s="74"/>
      <c r="CWA108" s="75"/>
      <c r="CWD108" s="75"/>
      <c r="CWE108" s="72"/>
      <c r="CWF108" s="68"/>
      <c r="CWG108" s="1"/>
      <c r="CWH108" s="73"/>
      <c r="CWI108" s="74"/>
      <c r="CWK108" s="75"/>
      <c r="CWN108" s="75"/>
      <c r="CWO108" s="72"/>
      <c r="CWP108" s="68"/>
      <c r="CWQ108" s="1"/>
      <c r="CWR108" s="73"/>
      <c r="CWS108" s="74"/>
      <c r="CWU108" s="75"/>
      <c r="CWX108" s="75"/>
      <c r="CWY108" s="72"/>
      <c r="CWZ108" s="68"/>
      <c r="CXA108" s="1"/>
      <c r="CXB108" s="73"/>
      <c r="CXC108" s="74"/>
      <c r="CXE108" s="75"/>
      <c r="CXH108" s="75"/>
      <c r="CXI108" s="72"/>
      <c r="CXJ108" s="68"/>
      <c r="CXK108" s="1"/>
      <c r="CXL108" s="73"/>
      <c r="CXM108" s="74"/>
      <c r="CXO108" s="75"/>
      <c r="CXR108" s="75"/>
      <c r="CXS108" s="72"/>
      <c r="CXT108" s="68"/>
      <c r="CXU108" s="1"/>
      <c r="CXV108" s="73"/>
      <c r="CXW108" s="74"/>
      <c r="CXY108" s="75"/>
      <c r="CYB108" s="75"/>
      <c r="CYC108" s="72"/>
      <c r="CYD108" s="68"/>
      <c r="CYE108" s="1"/>
      <c r="CYF108" s="73"/>
      <c r="CYG108" s="74"/>
      <c r="CYI108" s="75"/>
      <c r="CYL108" s="75"/>
      <c r="CYM108" s="72"/>
      <c r="CYN108" s="68"/>
      <c r="CYO108" s="1"/>
      <c r="CYP108" s="73"/>
      <c r="CYQ108" s="74"/>
      <c r="CYS108" s="75"/>
      <c r="CYV108" s="75"/>
      <c r="CYW108" s="72"/>
      <c r="CYX108" s="68"/>
      <c r="CYY108" s="1"/>
      <c r="CYZ108" s="73"/>
      <c r="CZA108" s="74"/>
      <c r="CZC108" s="75"/>
      <c r="CZF108" s="75"/>
      <c r="CZG108" s="72"/>
      <c r="CZH108" s="68"/>
      <c r="CZI108" s="1"/>
      <c r="CZJ108" s="73"/>
      <c r="CZK108" s="74"/>
      <c r="CZM108" s="75"/>
      <c r="CZP108" s="75"/>
      <c r="CZQ108" s="72"/>
      <c r="CZR108" s="68"/>
      <c r="CZS108" s="1"/>
      <c r="CZT108" s="73"/>
      <c r="CZU108" s="74"/>
      <c r="CZW108" s="75"/>
      <c r="CZZ108" s="75"/>
      <c r="DAA108" s="72"/>
      <c r="DAB108" s="68"/>
      <c r="DAC108" s="1"/>
      <c r="DAD108" s="73"/>
      <c r="DAE108" s="74"/>
      <c r="DAG108" s="75"/>
      <c r="DAJ108" s="75"/>
      <c r="DAK108" s="72"/>
      <c r="DAL108" s="68"/>
      <c r="DAM108" s="1"/>
      <c r="DAN108" s="73"/>
      <c r="DAO108" s="74"/>
      <c r="DAQ108" s="75"/>
      <c r="DAT108" s="75"/>
      <c r="DAU108" s="72"/>
      <c r="DAV108" s="68"/>
      <c r="DAW108" s="1"/>
      <c r="DAX108" s="73"/>
      <c r="DAY108" s="74"/>
      <c r="DBA108" s="75"/>
      <c r="DBD108" s="75"/>
      <c r="DBE108" s="72"/>
      <c r="DBF108" s="68"/>
      <c r="DBG108" s="1"/>
      <c r="DBH108" s="73"/>
      <c r="DBI108" s="74"/>
      <c r="DBK108" s="75"/>
      <c r="DBN108" s="75"/>
      <c r="DBO108" s="72"/>
      <c r="DBP108" s="68"/>
      <c r="DBQ108" s="1"/>
      <c r="DBR108" s="73"/>
      <c r="DBS108" s="74"/>
      <c r="DBU108" s="75"/>
      <c r="DBX108" s="75"/>
      <c r="DBY108" s="72"/>
      <c r="DBZ108" s="68"/>
      <c r="DCA108" s="1"/>
      <c r="DCB108" s="73"/>
      <c r="DCC108" s="74"/>
      <c r="DCE108" s="75"/>
      <c r="DCH108" s="75"/>
      <c r="DCI108" s="72"/>
      <c r="DCJ108" s="68"/>
      <c r="DCK108" s="1"/>
      <c r="DCL108" s="73"/>
      <c r="DCM108" s="74"/>
      <c r="DCO108" s="75"/>
      <c r="DCR108" s="75"/>
      <c r="DCS108" s="72"/>
      <c r="DCT108" s="68"/>
      <c r="DCU108" s="1"/>
      <c r="DCV108" s="73"/>
      <c r="DCW108" s="74"/>
      <c r="DCY108" s="75"/>
      <c r="DDB108" s="75"/>
      <c r="DDC108" s="72"/>
      <c r="DDD108" s="68"/>
      <c r="DDE108" s="1"/>
      <c r="DDF108" s="73"/>
      <c r="DDG108" s="74"/>
      <c r="DDI108" s="75"/>
      <c r="DDL108" s="75"/>
      <c r="DDM108" s="72"/>
      <c r="DDN108" s="68"/>
      <c r="DDO108" s="1"/>
      <c r="DDP108" s="73"/>
      <c r="DDQ108" s="74"/>
      <c r="DDS108" s="75"/>
      <c r="DDV108" s="75"/>
      <c r="DDW108" s="72"/>
      <c r="DDX108" s="68"/>
      <c r="DDY108" s="1"/>
      <c r="DDZ108" s="73"/>
      <c r="DEA108" s="74"/>
      <c r="DEC108" s="75"/>
      <c r="DEF108" s="75"/>
      <c r="DEG108" s="72"/>
      <c r="DEH108" s="68"/>
      <c r="DEI108" s="1"/>
      <c r="DEJ108" s="73"/>
      <c r="DEK108" s="74"/>
      <c r="DEM108" s="75"/>
      <c r="DEP108" s="75"/>
      <c r="DEQ108" s="72"/>
      <c r="DER108" s="68"/>
      <c r="DES108" s="1"/>
      <c r="DET108" s="73"/>
      <c r="DEU108" s="74"/>
      <c r="DEW108" s="75"/>
      <c r="DEZ108" s="75"/>
      <c r="DFA108" s="72"/>
      <c r="DFB108" s="68"/>
      <c r="DFC108" s="1"/>
      <c r="DFD108" s="73"/>
      <c r="DFE108" s="74"/>
      <c r="DFG108" s="75"/>
      <c r="DFJ108" s="75"/>
      <c r="DFK108" s="72"/>
      <c r="DFL108" s="68"/>
      <c r="DFM108" s="1"/>
      <c r="DFN108" s="73"/>
      <c r="DFO108" s="74"/>
      <c r="DFQ108" s="75"/>
      <c r="DFT108" s="75"/>
      <c r="DFU108" s="72"/>
      <c r="DFV108" s="68"/>
      <c r="DFW108" s="1"/>
      <c r="DFX108" s="73"/>
      <c r="DFY108" s="74"/>
      <c r="DGA108" s="75"/>
      <c r="DGD108" s="75"/>
      <c r="DGE108" s="72"/>
      <c r="DGF108" s="68"/>
      <c r="DGG108" s="1"/>
      <c r="DGH108" s="73"/>
      <c r="DGI108" s="74"/>
      <c r="DGK108" s="75"/>
      <c r="DGN108" s="75"/>
      <c r="DGO108" s="72"/>
      <c r="DGP108" s="68"/>
      <c r="DGQ108" s="1"/>
      <c r="DGR108" s="73"/>
      <c r="DGS108" s="74"/>
      <c r="DGU108" s="75"/>
      <c r="DGX108" s="75"/>
      <c r="DGY108" s="72"/>
      <c r="DGZ108" s="68"/>
      <c r="DHA108" s="1"/>
      <c r="DHB108" s="73"/>
      <c r="DHC108" s="74"/>
      <c r="DHE108" s="75"/>
      <c r="DHH108" s="75"/>
      <c r="DHI108" s="72"/>
      <c r="DHJ108" s="68"/>
      <c r="DHK108" s="1"/>
      <c r="DHL108" s="73"/>
      <c r="DHM108" s="74"/>
      <c r="DHO108" s="75"/>
      <c r="DHR108" s="75"/>
      <c r="DHS108" s="72"/>
      <c r="DHT108" s="68"/>
      <c r="DHU108" s="1"/>
      <c r="DHV108" s="73"/>
      <c r="DHW108" s="74"/>
      <c r="DHY108" s="75"/>
      <c r="DIB108" s="75"/>
      <c r="DIC108" s="72"/>
      <c r="DID108" s="68"/>
      <c r="DIE108" s="1"/>
      <c r="DIF108" s="73"/>
      <c r="DIG108" s="74"/>
      <c r="DII108" s="75"/>
      <c r="DIL108" s="75"/>
      <c r="DIM108" s="72"/>
      <c r="DIN108" s="68"/>
      <c r="DIO108" s="1"/>
      <c r="DIP108" s="73"/>
      <c r="DIQ108" s="74"/>
      <c r="DIS108" s="75"/>
      <c r="DIV108" s="75"/>
      <c r="DIW108" s="72"/>
      <c r="DIX108" s="68"/>
      <c r="DIY108" s="1"/>
      <c r="DIZ108" s="73"/>
      <c r="DJA108" s="74"/>
      <c r="DJC108" s="75"/>
      <c r="DJF108" s="75"/>
      <c r="DJG108" s="72"/>
      <c r="DJH108" s="68"/>
      <c r="DJI108" s="1"/>
      <c r="DJJ108" s="73"/>
      <c r="DJK108" s="74"/>
      <c r="DJM108" s="75"/>
      <c r="DJP108" s="75"/>
      <c r="DJQ108" s="72"/>
      <c r="DJR108" s="68"/>
      <c r="DJS108" s="1"/>
      <c r="DJT108" s="73"/>
      <c r="DJU108" s="74"/>
      <c r="DJW108" s="75"/>
      <c r="DJZ108" s="75"/>
      <c r="DKA108" s="72"/>
      <c r="DKB108" s="68"/>
      <c r="DKC108" s="1"/>
      <c r="DKD108" s="73"/>
      <c r="DKE108" s="74"/>
      <c r="DKG108" s="75"/>
      <c r="DKJ108" s="75"/>
      <c r="DKK108" s="72"/>
      <c r="DKL108" s="68"/>
      <c r="DKM108" s="1"/>
      <c r="DKN108" s="73"/>
      <c r="DKO108" s="74"/>
      <c r="DKQ108" s="75"/>
      <c r="DKT108" s="75"/>
      <c r="DKU108" s="72"/>
      <c r="DKV108" s="68"/>
      <c r="DKW108" s="1"/>
      <c r="DKX108" s="73"/>
      <c r="DKY108" s="74"/>
      <c r="DLA108" s="75"/>
      <c r="DLD108" s="75"/>
      <c r="DLE108" s="72"/>
      <c r="DLF108" s="68"/>
      <c r="DLG108" s="1"/>
      <c r="DLH108" s="73"/>
      <c r="DLI108" s="74"/>
      <c r="DLK108" s="75"/>
      <c r="DLN108" s="75"/>
      <c r="DLO108" s="72"/>
      <c r="DLP108" s="68"/>
      <c r="DLQ108" s="1"/>
      <c r="DLR108" s="73"/>
      <c r="DLS108" s="74"/>
      <c r="DLU108" s="75"/>
      <c r="DLX108" s="75"/>
      <c r="DLY108" s="72"/>
      <c r="DLZ108" s="68"/>
      <c r="DMA108" s="1"/>
      <c r="DMB108" s="73"/>
      <c r="DMC108" s="74"/>
      <c r="DME108" s="75"/>
      <c r="DMH108" s="75"/>
      <c r="DMI108" s="72"/>
      <c r="DMJ108" s="68"/>
      <c r="DMK108" s="1"/>
      <c r="DML108" s="73"/>
      <c r="DMM108" s="74"/>
      <c r="DMO108" s="75"/>
      <c r="DMR108" s="75"/>
      <c r="DMS108" s="72"/>
      <c r="DMT108" s="68"/>
      <c r="DMU108" s="1"/>
      <c r="DMV108" s="73"/>
      <c r="DMW108" s="74"/>
      <c r="DMY108" s="75"/>
      <c r="DNB108" s="75"/>
      <c r="DNC108" s="72"/>
      <c r="DND108" s="68"/>
      <c r="DNE108" s="1"/>
      <c r="DNF108" s="73"/>
      <c r="DNG108" s="74"/>
      <c r="DNI108" s="75"/>
      <c r="DNL108" s="75"/>
      <c r="DNM108" s="72"/>
      <c r="DNN108" s="68"/>
      <c r="DNO108" s="1"/>
      <c r="DNP108" s="73"/>
      <c r="DNQ108" s="74"/>
      <c r="DNS108" s="75"/>
      <c r="DNV108" s="75"/>
      <c r="DNW108" s="72"/>
      <c r="DNX108" s="68"/>
      <c r="DNY108" s="1"/>
      <c r="DNZ108" s="73"/>
      <c r="DOA108" s="74"/>
      <c r="DOC108" s="75"/>
      <c r="DOF108" s="75"/>
      <c r="DOG108" s="72"/>
      <c r="DOH108" s="68"/>
      <c r="DOI108" s="1"/>
      <c r="DOJ108" s="73"/>
      <c r="DOK108" s="74"/>
      <c r="DOM108" s="75"/>
      <c r="DOP108" s="75"/>
      <c r="DOQ108" s="72"/>
      <c r="DOR108" s="68"/>
      <c r="DOS108" s="1"/>
      <c r="DOT108" s="73"/>
      <c r="DOU108" s="74"/>
      <c r="DOW108" s="75"/>
      <c r="DOZ108" s="75"/>
      <c r="DPA108" s="72"/>
      <c r="DPB108" s="68"/>
      <c r="DPC108" s="1"/>
      <c r="DPD108" s="73"/>
      <c r="DPE108" s="74"/>
      <c r="DPG108" s="75"/>
      <c r="DPJ108" s="75"/>
      <c r="DPK108" s="72"/>
      <c r="DPL108" s="68"/>
      <c r="DPM108" s="1"/>
      <c r="DPN108" s="73"/>
      <c r="DPO108" s="74"/>
      <c r="DPQ108" s="75"/>
      <c r="DPT108" s="75"/>
      <c r="DPU108" s="72"/>
      <c r="DPV108" s="68"/>
      <c r="DPW108" s="1"/>
      <c r="DPX108" s="73"/>
      <c r="DPY108" s="74"/>
      <c r="DQA108" s="75"/>
      <c r="DQD108" s="75"/>
      <c r="DQE108" s="72"/>
      <c r="DQF108" s="68"/>
      <c r="DQG108" s="1"/>
      <c r="DQH108" s="73"/>
      <c r="DQI108" s="74"/>
      <c r="DQK108" s="75"/>
      <c r="DQN108" s="75"/>
      <c r="DQO108" s="72"/>
      <c r="DQP108" s="68"/>
      <c r="DQQ108" s="1"/>
      <c r="DQR108" s="73"/>
      <c r="DQS108" s="74"/>
      <c r="DQU108" s="75"/>
      <c r="DQX108" s="75"/>
      <c r="DQY108" s="72"/>
      <c r="DQZ108" s="68"/>
      <c r="DRA108" s="1"/>
      <c r="DRB108" s="73"/>
      <c r="DRC108" s="74"/>
      <c r="DRE108" s="75"/>
      <c r="DRH108" s="75"/>
      <c r="DRI108" s="72"/>
      <c r="DRJ108" s="68"/>
      <c r="DRK108" s="1"/>
      <c r="DRL108" s="73"/>
      <c r="DRM108" s="74"/>
      <c r="DRO108" s="75"/>
      <c r="DRR108" s="75"/>
      <c r="DRS108" s="72"/>
      <c r="DRT108" s="68"/>
      <c r="DRU108" s="1"/>
      <c r="DRV108" s="73"/>
      <c r="DRW108" s="74"/>
      <c r="DRY108" s="75"/>
      <c r="DSB108" s="75"/>
      <c r="DSC108" s="72"/>
      <c r="DSD108" s="68"/>
      <c r="DSE108" s="1"/>
      <c r="DSF108" s="73"/>
      <c r="DSG108" s="74"/>
      <c r="DSI108" s="75"/>
      <c r="DSL108" s="75"/>
      <c r="DSM108" s="72"/>
      <c r="DSN108" s="68"/>
      <c r="DSO108" s="1"/>
      <c r="DSP108" s="73"/>
      <c r="DSQ108" s="74"/>
      <c r="DSS108" s="75"/>
      <c r="DSV108" s="75"/>
      <c r="DSW108" s="72"/>
      <c r="DSX108" s="68"/>
      <c r="DSY108" s="1"/>
      <c r="DSZ108" s="73"/>
      <c r="DTA108" s="74"/>
      <c r="DTC108" s="75"/>
      <c r="DTF108" s="75"/>
      <c r="DTG108" s="72"/>
      <c r="DTH108" s="68"/>
      <c r="DTI108" s="1"/>
      <c r="DTJ108" s="73"/>
      <c r="DTK108" s="74"/>
      <c r="DTM108" s="75"/>
      <c r="DTP108" s="75"/>
      <c r="DTQ108" s="72"/>
      <c r="DTR108" s="68"/>
      <c r="DTS108" s="1"/>
      <c r="DTT108" s="73"/>
      <c r="DTU108" s="74"/>
      <c r="DTW108" s="75"/>
      <c r="DTZ108" s="75"/>
      <c r="DUA108" s="72"/>
      <c r="DUB108" s="68"/>
      <c r="DUC108" s="1"/>
      <c r="DUD108" s="73"/>
      <c r="DUE108" s="74"/>
      <c r="DUG108" s="75"/>
      <c r="DUJ108" s="75"/>
      <c r="DUK108" s="72"/>
      <c r="DUL108" s="68"/>
      <c r="DUM108" s="1"/>
      <c r="DUN108" s="73"/>
      <c r="DUO108" s="74"/>
      <c r="DUQ108" s="75"/>
      <c r="DUT108" s="75"/>
      <c r="DUU108" s="72"/>
      <c r="DUV108" s="68"/>
      <c r="DUW108" s="1"/>
      <c r="DUX108" s="73"/>
      <c r="DUY108" s="74"/>
      <c r="DVA108" s="75"/>
      <c r="DVD108" s="75"/>
      <c r="DVE108" s="72"/>
      <c r="DVF108" s="68"/>
      <c r="DVG108" s="1"/>
      <c r="DVH108" s="73"/>
      <c r="DVI108" s="74"/>
      <c r="DVK108" s="75"/>
      <c r="DVN108" s="75"/>
      <c r="DVO108" s="72"/>
      <c r="DVP108" s="68"/>
      <c r="DVQ108" s="1"/>
      <c r="DVR108" s="73"/>
      <c r="DVS108" s="74"/>
      <c r="DVU108" s="75"/>
      <c r="DVX108" s="75"/>
      <c r="DVY108" s="72"/>
      <c r="DVZ108" s="68"/>
      <c r="DWA108" s="1"/>
      <c r="DWB108" s="73"/>
      <c r="DWC108" s="74"/>
      <c r="DWE108" s="75"/>
      <c r="DWH108" s="75"/>
      <c r="DWI108" s="72"/>
      <c r="DWJ108" s="68"/>
      <c r="DWK108" s="1"/>
      <c r="DWL108" s="73"/>
      <c r="DWM108" s="74"/>
      <c r="DWO108" s="75"/>
      <c r="DWR108" s="75"/>
      <c r="DWS108" s="72"/>
      <c r="DWT108" s="68"/>
      <c r="DWU108" s="1"/>
      <c r="DWV108" s="73"/>
      <c r="DWW108" s="74"/>
      <c r="DWY108" s="75"/>
      <c r="DXB108" s="75"/>
      <c r="DXC108" s="72"/>
      <c r="DXD108" s="68"/>
      <c r="DXE108" s="1"/>
      <c r="DXF108" s="73"/>
      <c r="DXG108" s="74"/>
      <c r="DXI108" s="75"/>
      <c r="DXL108" s="75"/>
      <c r="DXM108" s="72"/>
      <c r="DXN108" s="68"/>
      <c r="DXO108" s="1"/>
      <c r="DXP108" s="73"/>
      <c r="DXQ108" s="74"/>
      <c r="DXS108" s="75"/>
      <c r="DXV108" s="75"/>
      <c r="DXW108" s="72"/>
      <c r="DXX108" s="68"/>
      <c r="DXY108" s="1"/>
      <c r="DXZ108" s="73"/>
      <c r="DYA108" s="74"/>
      <c r="DYC108" s="75"/>
      <c r="DYF108" s="75"/>
      <c r="DYG108" s="72"/>
      <c r="DYH108" s="68"/>
      <c r="DYI108" s="1"/>
      <c r="DYJ108" s="73"/>
      <c r="DYK108" s="74"/>
      <c r="DYM108" s="75"/>
      <c r="DYP108" s="75"/>
      <c r="DYQ108" s="72"/>
      <c r="DYR108" s="68"/>
      <c r="DYS108" s="1"/>
      <c r="DYT108" s="73"/>
      <c r="DYU108" s="74"/>
      <c r="DYW108" s="75"/>
      <c r="DYZ108" s="75"/>
      <c r="DZA108" s="72"/>
      <c r="DZB108" s="68"/>
      <c r="DZC108" s="1"/>
      <c r="DZD108" s="73"/>
      <c r="DZE108" s="74"/>
      <c r="DZG108" s="75"/>
      <c r="DZJ108" s="75"/>
      <c r="DZK108" s="72"/>
      <c r="DZL108" s="68"/>
      <c r="DZM108" s="1"/>
      <c r="DZN108" s="73"/>
      <c r="DZO108" s="74"/>
      <c r="DZQ108" s="75"/>
      <c r="DZT108" s="75"/>
      <c r="DZU108" s="72"/>
      <c r="DZV108" s="68"/>
      <c r="DZW108" s="1"/>
      <c r="DZX108" s="73"/>
      <c r="DZY108" s="74"/>
      <c r="EAA108" s="75"/>
      <c r="EAD108" s="75"/>
      <c r="EAE108" s="72"/>
      <c r="EAF108" s="68"/>
      <c r="EAG108" s="1"/>
      <c r="EAH108" s="73"/>
      <c r="EAI108" s="74"/>
      <c r="EAK108" s="75"/>
      <c r="EAN108" s="75"/>
      <c r="EAO108" s="72"/>
      <c r="EAP108" s="68"/>
      <c r="EAQ108" s="1"/>
      <c r="EAR108" s="73"/>
      <c r="EAS108" s="74"/>
      <c r="EAU108" s="75"/>
      <c r="EAX108" s="75"/>
      <c r="EAY108" s="72"/>
      <c r="EAZ108" s="68"/>
      <c r="EBA108" s="1"/>
      <c r="EBB108" s="73"/>
      <c r="EBC108" s="74"/>
      <c r="EBE108" s="75"/>
      <c r="EBH108" s="75"/>
      <c r="EBI108" s="72"/>
      <c r="EBJ108" s="68"/>
      <c r="EBK108" s="1"/>
      <c r="EBL108" s="73"/>
      <c r="EBM108" s="74"/>
      <c r="EBO108" s="75"/>
      <c r="EBR108" s="75"/>
      <c r="EBS108" s="72"/>
      <c r="EBT108" s="68"/>
      <c r="EBU108" s="1"/>
      <c r="EBV108" s="73"/>
      <c r="EBW108" s="74"/>
      <c r="EBY108" s="75"/>
      <c r="ECB108" s="75"/>
      <c r="ECC108" s="72"/>
      <c r="ECD108" s="68"/>
      <c r="ECE108" s="1"/>
      <c r="ECF108" s="73"/>
      <c r="ECG108" s="74"/>
      <c r="ECI108" s="75"/>
      <c r="ECL108" s="75"/>
      <c r="ECM108" s="72"/>
      <c r="ECN108" s="68"/>
      <c r="ECO108" s="1"/>
      <c r="ECP108" s="73"/>
      <c r="ECQ108" s="74"/>
      <c r="ECS108" s="75"/>
      <c r="ECV108" s="75"/>
      <c r="ECW108" s="72"/>
      <c r="ECX108" s="68"/>
      <c r="ECY108" s="1"/>
      <c r="ECZ108" s="73"/>
      <c r="EDA108" s="74"/>
      <c r="EDC108" s="75"/>
      <c r="EDF108" s="75"/>
      <c r="EDG108" s="72"/>
      <c r="EDH108" s="68"/>
      <c r="EDI108" s="1"/>
      <c r="EDJ108" s="73"/>
      <c r="EDK108" s="74"/>
      <c r="EDM108" s="75"/>
      <c r="EDP108" s="75"/>
      <c r="EDQ108" s="72"/>
      <c r="EDR108" s="68"/>
      <c r="EDS108" s="1"/>
      <c r="EDT108" s="73"/>
      <c r="EDU108" s="74"/>
      <c r="EDW108" s="75"/>
      <c r="EDZ108" s="75"/>
      <c r="EEA108" s="72"/>
      <c r="EEB108" s="68"/>
      <c r="EEC108" s="1"/>
      <c r="EED108" s="73"/>
      <c r="EEE108" s="74"/>
      <c r="EEG108" s="75"/>
      <c r="EEJ108" s="75"/>
      <c r="EEK108" s="72"/>
      <c r="EEL108" s="68"/>
      <c r="EEM108" s="1"/>
      <c r="EEN108" s="73"/>
      <c r="EEO108" s="74"/>
      <c r="EEQ108" s="75"/>
      <c r="EET108" s="75"/>
      <c r="EEU108" s="72"/>
      <c r="EEV108" s="68"/>
      <c r="EEW108" s="1"/>
      <c r="EEX108" s="73"/>
      <c r="EEY108" s="74"/>
      <c r="EFA108" s="75"/>
      <c r="EFD108" s="75"/>
      <c r="EFE108" s="72"/>
      <c r="EFF108" s="68"/>
      <c r="EFG108" s="1"/>
      <c r="EFH108" s="73"/>
      <c r="EFI108" s="74"/>
      <c r="EFK108" s="75"/>
      <c r="EFN108" s="75"/>
      <c r="EFO108" s="72"/>
      <c r="EFP108" s="68"/>
      <c r="EFQ108" s="1"/>
      <c r="EFR108" s="73"/>
      <c r="EFS108" s="74"/>
      <c r="EFU108" s="75"/>
      <c r="EFX108" s="75"/>
      <c r="EFY108" s="72"/>
      <c r="EFZ108" s="68"/>
      <c r="EGA108" s="1"/>
      <c r="EGB108" s="73"/>
      <c r="EGC108" s="74"/>
      <c r="EGE108" s="75"/>
      <c r="EGH108" s="75"/>
      <c r="EGI108" s="72"/>
      <c r="EGJ108" s="68"/>
      <c r="EGK108" s="1"/>
      <c r="EGL108" s="73"/>
      <c r="EGM108" s="74"/>
      <c r="EGO108" s="75"/>
      <c r="EGR108" s="75"/>
      <c r="EGS108" s="72"/>
      <c r="EGT108" s="68"/>
      <c r="EGU108" s="1"/>
      <c r="EGV108" s="73"/>
      <c r="EGW108" s="74"/>
      <c r="EGY108" s="75"/>
      <c r="EHB108" s="75"/>
      <c r="EHC108" s="72"/>
      <c r="EHD108" s="68"/>
      <c r="EHE108" s="1"/>
      <c r="EHF108" s="73"/>
      <c r="EHG108" s="74"/>
      <c r="EHI108" s="75"/>
      <c r="EHL108" s="75"/>
      <c r="EHM108" s="72"/>
      <c r="EHN108" s="68"/>
      <c r="EHO108" s="1"/>
      <c r="EHP108" s="73"/>
      <c r="EHQ108" s="74"/>
      <c r="EHS108" s="75"/>
      <c r="EHV108" s="75"/>
      <c r="EHW108" s="72"/>
      <c r="EHX108" s="68"/>
      <c r="EHY108" s="1"/>
      <c r="EHZ108" s="73"/>
      <c r="EIA108" s="74"/>
      <c r="EIC108" s="75"/>
      <c r="EIF108" s="75"/>
      <c r="EIG108" s="72"/>
      <c r="EIH108" s="68"/>
      <c r="EII108" s="1"/>
      <c r="EIJ108" s="73"/>
      <c r="EIK108" s="74"/>
      <c r="EIM108" s="75"/>
      <c r="EIP108" s="75"/>
      <c r="EIQ108" s="72"/>
      <c r="EIR108" s="68"/>
      <c r="EIS108" s="1"/>
      <c r="EIT108" s="73"/>
      <c r="EIU108" s="74"/>
      <c r="EIW108" s="75"/>
      <c r="EIZ108" s="75"/>
      <c r="EJA108" s="72"/>
      <c r="EJB108" s="68"/>
      <c r="EJC108" s="1"/>
      <c r="EJD108" s="73"/>
      <c r="EJE108" s="74"/>
      <c r="EJG108" s="75"/>
      <c r="EJJ108" s="75"/>
      <c r="EJK108" s="72"/>
      <c r="EJL108" s="68"/>
      <c r="EJM108" s="1"/>
      <c r="EJN108" s="73"/>
      <c r="EJO108" s="74"/>
      <c r="EJQ108" s="75"/>
      <c r="EJT108" s="75"/>
      <c r="EJU108" s="72"/>
      <c r="EJV108" s="68"/>
      <c r="EJW108" s="1"/>
      <c r="EJX108" s="73"/>
      <c r="EJY108" s="74"/>
      <c r="EKA108" s="75"/>
      <c r="EKD108" s="75"/>
      <c r="EKE108" s="72"/>
      <c r="EKF108" s="68"/>
      <c r="EKG108" s="1"/>
      <c r="EKH108" s="73"/>
      <c r="EKI108" s="74"/>
      <c r="EKK108" s="75"/>
      <c r="EKN108" s="75"/>
      <c r="EKO108" s="72"/>
      <c r="EKP108" s="68"/>
      <c r="EKQ108" s="1"/>
      <c r="EKR108" s="73"/>
      <c r="EKS108" s="74"/>
      <c r="EKU108" s="75"/>
      <c r="EKX108" s="75"/>
      <c r="EKY108" s="72"/>
      <c r="EKZ108" s="68"/>
      <c r="ELA108" s="1"/>
      <c r="ELB108" s="73"/>
      <c r="ELC108" s="74"/>
      <c r="ELE108" s="75"/>
      <c r="ELH108" s="75"/>
      <c r="ELI108" s="72"/>
      <c r="ELJ108" s="68"/>
      <c r="ELK108" s="1"/>
      <c r="ELL108" s="73"/>
      <c r="ELM108" s="74"/>
      <c r="ELO108" s="75"/>
      <c r="ELR108" s="75"/>
      <c r="ELS108" s="72"/>
      <c r="ELT108" s="68"/>
      <c r="ELU108" s="1"/>
      <c r="ELV108" s="73"/>
      <c r="ELW108" s="74"/>
      <c r="ELY108" s="75"/>
      <c r="EMB108" s="75"/>
      <c r="EMC108" s="72"/>
      <c r="EMD108" s="68"/>
      <c r="EME108" s="1"/>
      <c r="EMF108" s="73"/>
      <c r="EMG108" s="74"/>
      <c r="EMI108" s="75"/>
      <c r="EML108" s="75"/>
      <c r="EMM108" s="72"/>
      <c r="EMN108" s="68"/>
      <c r="EMO108" s="1"/>
      <c r="EMP108" s="73"/>
      <c r="EMQ108" s="74"/>
      <c r="EMS108" s="75"/>
      <c r="EMV108" s="75"/>
      <c r="EMW108" s="72"/>
      <c r="EMX108" s="68"/>
      <c r="EMY108" s="1"/>
      <c r="EMZ108" s="73"/>
      <c r="ENA108" s="74"/>
      <c r="ENC108" s="75"/>
      <c r="ENF108" s="75"/>
      <c r="ENG108" s="72"/>
      <c r="ENH108" s="68"/>
      <c r="ENI108" s="1"/>
      <c r="ENJ108" s="73"/>
      <c r="ENK108" s="74"/>
      <c r="ENM108" s="75"/>
      <c r="ENP108" s="75"/>
      <c r="ENQ108" s="72"/>
      <c r="ENR108" s="68"/>
      <c r="ENS108" s="1"/>
      <c r="ENT108" s="73"/>
      <c r="ENU108" s="74"/>
      <c r="ENW108" s="75"/>
      <c r="ENZ108" s="75"/>
      <c r="EOA108" s="72"/>
      <c r="EOB108" s="68"/>
      <c r="EOC108" s="1"/>
      <c r="EOD108" s="73"/>
      <c r="EOE108" s="74"/>
      <c r="EOG108" s="75"/>
      <c r="EOJ108" s="75"/>
      <c r="EOK108" s="72"/>
      <c r="EOL108" s="68"/>
      <c r="EOM108" s="1"/>
      <c r="EON108" s="73"/>
      <c r="EOO108" s="74"/>
      <c r="EOQ108" s="75"/>
      <c r="EOT108" s="75"/>
      <c r="EOU108" s="72"/>
      <c r="EOV108" s="68"/>
      <c r="EOW108" s="1"/>
      <c r="EOX108" s="73"/>
      <c r="EOY108" s="74"/>
      <c r="EPA108" s="75"/>
      <c r="EPD108" s="75"/>
      <c r="EPE108" s="72"/>
      <c r="EPF108" s="68"/>
      <c r="EPG108" s="1"/>
      <c r="EPH108" s="73"/>
      <c r="EPI108" s="74"/>
      <c r="EPK108" s="75"/>
      <c r="EPN108" s="75"/>
      <c r="EPO108" s="72"/>
      <c r="EPP108" s="68"/>
      <c r="EPQ108" s="1"/>
      <c r="EPR108" s="73"/>
      <c r="EPS108" s="74"/>
      <c r="EPU108" s="75"/>
      <c r="EPX108" s="75"/>
      <c r="EPY108" s="72"/>
      <c r="EPZ108" s="68"/>
      <c r="EQA108" s="1"/>
      <c r="EQB108" s="73"/>
      <c r="EQC108" s="74"/>
      <c r="EQE108" s="75"/>
      <c r="EQH108" s="75"/>
      <c r="EQI108" s="72"/>
      <c r="EQJ108" s="68"/>
      <c r="EQK108" s="1"/>
      <c r="EQL108" s="73"/>
      <c r="EQM108" s="74"/>
      <c r="EQO108" s="75"/>
      <c r="EQR108" s="75"/>
      <c r="EQS108" s="72"/>
      <c r="EQT108" s="68"/>
      <c r="EQU108" s="1"/>
      <c r="EQV108" s="73"/>
      <c r="EQW108" s="74"/>
      <c r="EQY108" s="75"/>
      <c r="ERB108" s="75"/>
      <c r="ERC108" s="72"/>
      <c r="ERD108" s="68"/>
      <c r="ERE108" s="1"/>
      <c r="ERF108" s="73"/>
      <c r="ERG108" s="74"/>
      <c r="ERI108" s="75"/>
      <c r="ERL108" s="75"/>
      <c r="ERM108" s="72"/>
      <c r="ERN108" s="68"/>
      <c r="ERO108" s="1"/>
      <c r="ERP108" s="73"/>
      <c r="ERQ108" s="74"/>
      <c r="ERS108" s="75"/>
      <c r="ERV108" s="75"/>
      <c r="ERW108" s="72"/>
      <c r="ERX108" s="68"/>
      <c r="ERY108" s="1"/>
      <c r="ERZ108" s="73"/>
      <c r="ESA108" s="74"/>
      <c r="ESC108" s="75"/>
      <c r="ESF108" s="75"/>
      <c r="ESG108" s="72"/>
      <c r="ESH108" s="68"/>
      <c r="ESI108" s="1"/>
      <c r="ESJ108" s="73"/>
      <c r="ESK108" s="74"/>
      <c r="ESM108" s="75"/>
      <c r="ESP108" s="75"/>
      <c r="ESQ108" s="72"/>
      <c r="ESR108" s="68"/>
      <c r="ESS108" s="1"/>
      <c r="EST108" s="73"/>
      <c r="ESU108" s="74"/>
      <c r="ESW108" s="75"/>
      <c r="ESZ108" s="75"/>
      <c r="ETA108" s="72"/>
      <c r="ETB108" s="68"/>
      <c r="ETC108" s="1"/>
      <c r="ETD108" s="73"/>
      <c r="ETE108" s="74"/>
      <c r="ETG108" s="75"/>
      <c r="ETJ108" s="75"/>
      <c r="ETK108" s="72"/>
      <c r="ETL108" s="68"/>
      <c r="ETM108" s="1"/>
      <c r="ETN108" s="73"/>
      <c r="ETO108" s="74"/>
      <c r="ETQ108" s="75"/>
      <c r="ETT108" s="75"/>
      <c r="ETU108" s="72"/>
      <c r="ETV108" s="68"/>
      <c r="ETW108" s="1"/>
      <c r="ETX108" s="73"/>
      <c r="ETY108" s="74"/>
      <c r="EUA108" s="75"/>
      <c r="EUD108" s="75"/>
      <c r="EUE108" s="72"/>
      <c r="EUF108" s="68"/>
      <c r="EUG108" s="1"/>
      <c r="EUH108" s="73"/>
      <c r="EUI108" s="74"/>
      <c r="EUK108" s="75"/>
      <c r="EUN108" s="75"/>
      <c r="EUO108" s="72"/>
      <c r="EUP108" s="68"/>
      <c r="EUQ108" s="1"/>
      <c r="EUR108" s="73"/>
      <c r="EUS108" s="74"/>
      <c r="EUU108" s="75"/>
      <c r="EUX108" s="75"/>
      <c r="EUY108" s="72"/>
      <c r="EUZ108" s="68"/>
      <c r="EVA108" s="1"/>
      <c r="EVB108" s="73"/>
      <c r="EVC108" s="74"/>
      <c r="EVE108" s="75"/>
      <c r="EVH108" s="75"/>
      <c r="EVI108" s="72"/>
      <c r="EVJ108" s="68"/>
      <c r="EVK108" s="1"/>
      <c r="EVL108" s="73"/>
      <c r="EVM108" s="74"/>
      <c r="EVO108" s="75"/>
      <c r="EVR108" s="75"/>
      <c r="EVS108" s="72"/>
      <c r="EVT108" s="68"/>
      <c r="EVU108" s="1"/>
      <c r="EVV108" s="73"/>
      <c r="EVW108" s="74"/>
      <c r="EVY108" s="75"/>
      <c r="EWB108" s="75"/>
      <c r="EWC108" s="72"/>
      <c r="EWD108" s="68"/>
      <c r="EWE108" s="1"/>
      <c r="EWF108" s="73"/>
      <c r="EWG108" s="74"/>
      <c r="EWI108" s="75"/>
      <c r="EWL108" s="75"/>
      <c r="EWM108" s="72"/>
      <c r="EWN108" s="68"/>
      <c r="EWO108" s="1"/>
      <c r="EWP108" s="73"/>
      <c r="EWQ108" s="74"/>
      <c r="EWS108" s="75"/>
      <c r="EWV108" s="75"/>
      <c r="EWW108" s="72"/>
      <c r="EWX108" s="68"/>
      <c r="EWY108" s="1"/>
      <c r="EWZ108" s="73"/>
      <c r="EXA108" s="74"/>
      <c r="EXC108" s="75"/>
      <c r="EXF108" s="75"/>
      <c r="EXG108" s="72"/>
      <c r="EXH108" s="68"/>
      <c r="EXI108" s="1"/>
      <c r="EXJ108" s="73"/>
      <c r="EXK108" s="74"/>
      <c r="EXM108" s="75"/>
      <c r="EXP108" s="75"/>
      <c r="EXQ108" s="72"/>
      <c r="EXR108" s="68"/>
      <c r="EXS108" s="1"/>
      <c r="EXT108" s="73"/>
      <c r="EXU108" s="74"/>
      <c r="EXW108" s="75"/>
      <c r="EXZ108" s="75"/>
      <c r="EYA108" s="72"/>
      <c r="EYB108" s="68"/>
      <c r="EYC108" s="1"/>
      <c r="EYD108" s="73"/>
      <c r="EYE108" s="74"/>
      <c r="EYG108" s="75"/>
      <c r="EYJ108" s="75"/>
      <c r="EYK108" s="72"/>
      <c r="EYL108" s="68"/>
      <c r="EYM108" s="1"/>
      <c r="EYN108" s="73"/>
      <c r="EYO108" s="74"/>
      <c r="EYQ108" s="75"/>
      <c r="EYT108" s="75"/>
      <c r="EYU108" s="72"/>
      <c r="EYV108" s="68"/>
      <c r="EYW108" s="1"/>
      <c r="EYX108" s="73"/>
      <c r="EYY108" s="74"/>
      <c r="EZA108" s="75"/>
      <c r="EZD108" s="75"/>
      <c r="EZE108" s="72"/>
      <c r="EZF108" s="68"/>
      <c r="EZG108" s="1"/>
      <c r="EZH108" s="73"/>
      <c r="EZI108" s="74"/>
      <c r="EZK108" s="75"/>
      <c r="EZN108" s="75"/>
      <c r="EZO108" s="72"/>
      <c r="EZP108" s="68"/>
      <c r="EZQ108" s="1"/>
      <c r="EZR108" s="73"/>
      <c r="EZS108" s="74"/>
      <c r="EZU108" s="75"/>
      <c r="EZX108" s="75"/>
      <c r="EZY108" s="72"/>
      <c r="EZZ108" s="68"/>
      <c r="FAA108" s="1"/>
      <c r="FAB108" s="73"/>
      <c r="FAC108" s="74"/>
      <c r="FAE108" s="75"/>
      <c r="FAH108" s="75"/>
      <c r="FAI108" s="72"/>
      <c r="FAJ108" s="68"/>
      <c r="FAK108" s="1"/>
      <c r="FAL108" s="73"/>
      <c r="FAM108" s="74"/>
      <c r="FAO108" s="75"/>
      <c r="FAR108" s="75"/>
      <c r="FAS108" s="72"/>
      <c r="FAT108" s="68"/>
      <c r="FAU108" s="1"/>
      <c r="FAV108" s="73"/>
      <c r="FAW108" s="74"/>
      <c r="FAY108" s="75"/>
      <c r="FBB108" s="75"/>
      <c r="FBC108" s="72"/>
      <c r="FBD108" s="68"/>
      <c r="FBE108" s="1"/>
      <c r="FBF108" s="73"/>
      <c r="FBG108" s="74"/>
      <c r="FBI108" s="75"/>
      <c r="FBL108" s="75"/>
      <c r="FBM108" s="72"/>
      <c r="FBN108" s="68"/>
      <c r="FBO108" s="1"/>
      <c r="FBP108" s="73"/>
      <c r="FBQ108" s="74"/>
      <c r="FBS108" s="75"/>
      <c r="FBV108" s="75"/>
      <c r="FBW108" s="72"/>
      <c r="FBX108" s="68"/>
      <c r="FBY108" s="1"/>
      <c r="FBZ108" s="73"/>
      <c r="FCA108" s="74"/>
      <c r="FCC108" s="75"/>
      <c r="FCF108" s="75"/>
      <c r="FCG108" s="72"/>
      <c r="FCH108" s="68"/>
      <c r="FCI108" s="1"/>
      <c r="FCJ108" s="73"/>
      <c r="FCK108" s="74"/>
      <c r="FCM108" s="75"/>
      <c r="FCP108" s="75"/>
      <c r="FCQ108" s="72"/>
      <c r="FCR108" s="68"/>
      <c r="FCS108" s="1"/>
      <c r="FCT108" s="73"/>
      <c r="FCU108" s="74"/>
      <c r="FCW108" s="75"/>
      <c r="FCZ108" s="75"/>
      <c r="FDA108" s="72"/>
      <c r="FDB108" s="68"/>
      <c r="FDC108" s="1"/>
      <c r="FDD108" s="73"/>
      <c r="FDE108" s="74"/>
      <c r="FDG108" s="75"/>
      <c r="FDJ108" s="75"/>
      <c r="FDK108" s="72"/>
      <c r="FDL108" s="68"/>
      <c r="FDM108" s="1"/>
      <c r="FDN108" s="73"/>
      <c r="FDO108" s="74"/>
      <c r="FDQ108" s="75"/>
      <c r="FDT108" s="75"/>
      <c r="FDU108" s="72"/>
      <c r="FDV108" s="68"/>
      <c r="FDW108" s="1"/>
      <c r="FDX108" s="73"/>
      <c r="FDY108" s="74"/>
      <c r="FEA108" s="75"/>
      <c r="FED108" s="75"/>
      <c r="FEE108" s="72"/>
      <c r="FEF108" s="68"/>
      <c r="FEG108" s="1"/>
      <c r="FEH108" s="73"/>
      <c r="FEI108" s="74"/>
      <c r="FEK108" s="75"/>
      <c r="FEN108" s="75"/>
      <c r="FEO108" s="72"/>
      <c r="FEP108" s="68"/>
      <c r="FEQ108" s="1"/>
      <c r="FER108" s="73"/>
      <c r="FES108" s="74"/>
      <c r="FEU108" s="75"/>
      <c r="FEX108" s="75"/>
      <c r="FEY108" s="72"/>
      <c r="FEZ108" s="68"/>
      <c r="FFA108" s="1"/>
      <c r="FFB108" s="73"/>
      <c r="FFC108" s="74"/>
      <c r="FFE108" s="75"/>
      <c r="FFH108" s="75"/>
      <c r="FFI108" s="72"/>
      <c r="FFJ108" s="68"/>
      <c r="FFK108" s="1"/>
      <c r="FFL108" s="73"/>
      <c r="FFM108" s="74"/>
      <c r="FFO108" s="75"/>
      <c r="FFR108" s="75"/>
      <c r="FFS108" s="72"/>
      <c r="FFT108" s="68"/>
      <c r="FFU108" s="1"/>
      <c r="FFV108" s="73"/>
      <c r="FFW108" s="74"/>
      <c r="FFY108" s="75"/>
      <c r="FGB108" s="75"/>
      <c r="FGC108" s="72"/>
      <c r="FGD108" s="68"/>
      <c r="FGE108" s="1"/>
      <c r="FGF108" s="73"/>
      <c r="FGG108" s="74"/>
      <c r="FGI108" s="75"/>
      <c r="FGL108" s="75"/>
      <c r="FGM108" s="72"/>
      <c r="FGN108" s="68"/>
      <c r="FGO108" s="1"/>
      <c r="FGP108" s="73"/>
      <c r="FGQ108" s="74"/>
      <c r="FGS108" s="75"/>
      <c r="FGV108" s="75"/>
      <c r="FGW108" s="72"/>
      <c r="FGX108" s="68"/>
      <c r="FGY108" s="1"/>
      <c r="FGZ108" s="73"/>
      <c r="FHA108" s="74"/>
      <c r="FHC108" s="75"/>
      <c r="FHF108" s="75"/>
      <c r="FHG108" s="72"/>
      <c r="FHH108" s="68"/>
      <c r="FHI108" s="1"/>
      <c r="FHJ108" s="73"/>
      <c r="FHK108" s="74"/>
      <c r="FHM108" s="75"/>
      <c r="FHP108" s="75"/>
      <c r="FHQ108" s="72"/>
      <c r="FHR108" s="68"/>
      <c r="FHS108" s="1"/>
      <c r="FHT108" s="73"/>
      <c r="FHU108" s="74"/>
      <c r="FHW108" s="75"/>
      <c r="FHZ108" s="75"/>
      <c r="FIA108" s="72"/>
      <c r="FIB108" s="68"/>
      <c r="FIC108" s="1"/>
      <c r="FID108" s="73"/>
      <c r="FIE108" s="74"/>
      <c r="FIG108" s="75"/>
      <c r="FIJ108" s="75"/>
      <c r="FIK108" s="72"/>
      <c r="FIL108" s="68"/>
      <c r="FIM108" s="1"/>
      <c r="FIN108" s="73"/>
      <c r="FIO108" s="74"/>
      <c r="FIQ108" s="75"/>
      <c r="FIT108" s="75"/>
      <c r="FIU108" s="72"/>
      <c r="FIV108" s="68"/>
      <c r="FIW108" s="1"/>
      <c r="FIX108" s="73"/>
      <c r="FIY108" s="74"/>
      <c r="FJA108" s="75"/>
      <c r="FJD108" s="75"/>
      <c r="FJE108" s="72"/>
      <c r="FJF108" s="68"/>
      <c r="FJG108" s="1"/>
      <c r="FJH108" s="73"/>
      <c r="FJI108" s="74"/>
      <c r="FJK108" s="75"/>
      <c r="FJN108" s="75"/>
      <c r="FJO108" s="72"/>
      <c r="FJP108" s="68"/>
      <c r="FJQ108" s="1"/>
      <c r="FJR108" s="73"/>
      <c r="FJS108" s="74"/>
      <c r="FJU108" s="75"/>
      <c r="FJX108" s="75"/>
      <c r="FJY108" s="72"/>
      <c r="FJZ108" s="68"/>
      <c r="FKA108" s="1"/>
      <c r="FKB108" s="73"/>
      <c r="FKC108" s="74"/>
      <c r="FKE108" s="75"/>
      <c r="FKH108" s="75"/>
      <c r="FKI108" s="72"/>
      <c r="FKJ108" s="68"/>
      <c r="FKK108" s="1"/>
      <c r="FKL108" s="73"/>
      <c r="FKM108" s="74"/>
      <c r="FKO108" s="75"/>
      <c r="FKR108" s="75"/>
      <c r="FKS108" s="72"/>
      <c r="FKT108" s="68"/>
      <c r="FKU108" s="1"/>
      <c r="FKV108" s="73"/>
      <c r="FKW108" s="74"/>
      <c r="FKY108" s="75"/>
      <c r="FLB108" s="75"/>
      <c r="FLC108" s="72"/>
      <c r="FLD108" s="68"/>
      <c r="FLE108" s="1"/>
      <c r="FLF108" s="73"/>
      <c r="FLG108" s="74"/>
      <c r="FLI108" s="75"/>
      <c r="FLL108" s="75"/>
      <c r="FLM108" s="72"/>
      <c r="FLN108" s="68"/>
      <c r="FLO108" s="1"/>
      <c r="FLP108" s="73"/>
      <c r="FLQ108" s="74"/>
      <c r="FLS108" s="75"/>
      <c r="FLV108" s="75"/>
      <c r="FLW108" s="72"/>
      <c r="FLX108" s="68"/>
      <c r="FLY108" s="1"/>
      <c r="FLZ108" s="73"/>
      <c r="FMA108" s="74"/>
      <c r="FMC108" s="75"/>
      <c r="FMF108" s="75"/>
      <c r="FMG108" s="72"/>
      <c r="FMH108" s="68"/>
      <c r="FMI108" s="1"/>
      <c r="FMJ108" s="73"/>
      <c r="FMK108" s="74"/>
      <c r="FMM108" s="75"/>
      <c r="FMP108" s="75"/>
      <c r="FMQ108" s="72"/>
      <c r="FMR108" s="68"/>
      <c r="FMS108" s="1"/>
      <c r="FMT108" s="73"/>
      <c r="FMU108" s="74"/>
      <c r="FMW108" s="75"/>
      <c r="FMZ108" s="75"/>
      <c r="FNA108" s="72"/>
      <c r="FNB108" s="68"/>
      <c r="FNC108" s="1"/>
      <c r="FND108" s="73"/>
      <c r="FNE108" s="74"/>
      <c r="FNG108" s="75"/>
      <c r="FNJ108" s="75"/>
      <c r="FNK108" s="72"/>
      <c r="FNL108" s="68"/>
      <c r="FNM108" s="1"/>
      <c r="FNN108" s="73"/>
      <c r="FNO108" s="74"/>
      <c r="FNQ108" s="75"/>
      <c r="FNT108" s="75"/>
      <c r="FNU108" s="72"/>
      <c r="FNV108" s="68"/>
      <c r="FNW108" s="1"/>
      <c r="FNX108" s="73"/>
      <c r="FNY108" s="74"/>
      <c r="FOA108" s="75"/>
      <c r="FOD108" s="75"/>
      <c r="FOE108" s="72"/>
      <c r="FOF108" s="68"/>
      <c r="FOG108" s="1"/>
      <c r="FOH108" s="73"/>
      <c r="FOI108" s="74"/>
      <c r="FOK108" s="75"/>
      <c r="FON108" s="75"/>
      <c r="FOO108" s="72"/>
      <c r="FOP108" s="68"/>
      <c r="FOQ108" s="1"/>
      <c r="FOR108" s="73"/>
      <c r="FOS108" s="74"/>
      <c r="FOU108" s="75"/>
      <c r="FOX108" s="75"/>
      <c r="FOY108" s="72"/>
      <c r="FOZ108" s="68"/>
      <c r="FPA108" s="1"/>
      <c r="FPB108" s="73"/>
      <c r="FPC108" s="74"/>
      <c r="FPE108" s="75"/>
      <c r="FPH108" s="75"/>
      <c r="FPI108" s="72"/>
      <c r="FPJ108" s="68"/>
      <c r="FPK108" s="1"/>
      <c r="FPL108" s="73"/>
      <c r="FPM108" s="74"/>
      <c r="FPO108" s="75"/>
      <c r="FPR108" s="75"/>
      <c r="FPS108" s="72"/>
      <c r="FPT108" s="68"/>
      <c r="FPU108" s="1"/>
      <c r="FPV108" s="73"/>
      <c r="FPW108" s="74"/>
      <c r="FPY108" s="75"/>
      <c r="FQB108" s="75"/>
      <c r="FQC108" s="72"/>
      <c r="FQD108" s="68"/>
      <c r="FQE108" s="1"/>
      <c r="FQF108" s="73"/>
      <c r="FQG108" s="74"/>
      <c r="FQI108" s="75"/>
      <c r="FQL108" s="75"/>
      <c r="FQM108" s="72"/>
      <c r="FQN108" s="68"/>
      <c r="FQO108" s="1"/>
      <c r="FQP108" s="73"/>
      <c r="FQQ108" s="74"/>
      <c r="FQS108" s="75"/>
      <c r="FQV108" s="75"/>
      <c r="FQW108" s="72"/>
      <c r="FQX108" s="68"/>
      <c r="FQY108" s="1"/>
      <c r="FQZ108" s="73"/>
      <c r="FRA108" s="74"/>
      <c r="FRC108" s="75"/>
      <c r="FRF108" s="75"/>
      <c r="FRG108" s="72"/>
      <c r="FRH108" s="68"/>
      <c r="FRI108" s="1"/>
      <c r="FRJ108" s="73"/>
      <c r="FRK108" s="74"/>
      <c r="FRM108" s="75"/>
      <c r="FRP108" s="75"/>
      <c r="FRQ108" s="72"/>
      <c r="FRR108" s="68"/>
      <c r="FRS108" s="1"/>
      <c r="FRT108" s="73"/>
      <c r="FRU108" s="74"/>
      <c r="FRW108" s="75"/>
      <c r="FRZ108" s="75"/>
      <c r="FSA108" s="72"/>
      <c r="FSB108" s="68"/>
      <c r="FSC108" s="1"/>
      <c r="FSD108" s="73"/>
      <c r="FSE108" s="74"/>
      <c r="FSG108" s="75"/>
      <c r="FSJ108" s="75"/>
      <c r="FSK108" s="72"/>
      <c r="FSL108" s="68"/>
      <c r="FSM108" s="1"/>
      <c r="FSN108" s="73"/>
      <c r="FSO108" s="74"/>
      <c r="FSQ108" s="75"/>
      <c r="FST108" s="75"/>
      <c r="FSU108" s="72"/>
      <c r="FSV108" s="68"/>
      <c r="FSW108" s="1"/>
      <c r="FSX108" s="73"/>
      <c r="FSY108" s="74"/>
      <c r="FTA108" s="75"/>
      <c r="FTD108" s="75"/>
      <c r="FTE108" s="72"/>
      <c r="FTF108" s="68"/>
      <c r="FTG108" s="1"/>
      <c r="FTH108" s="73"/>
      <c r="FTI108" s="74"/>
      <c r="FTK108" s="75"/>
      <c r="FTN108" s="75"/>
      <c r="FTO108" s="72"/>
      <c r="FTP108" s="68"/>
      <c r="FTQ108" s="1"/>
      <c r="FTR108" s="73"/>
      <c r="FTS108" s="74"/>
      <c r="FTU108" s="75"/>
      <c r="FTX108" s="75"/>
      <c r="FTY108" s="72"/>
      <c r="FTZ108" s="68"/>
      <c r="FUA108" s="1"/>
      <c r="FUB108" s="73"/>
      <c r="FUC108" s="74"/>
      <c r="FUE108" s="75"/>
      <c r="FUH108" s="75"/>
      <c r="FUI108" s="72"/>
      <c r="FUJ108" s="68"/>
      <c r="FUK108" s="1"/>
      <c r="FUL108" s="73"/>
      <c r="FUM108" s="74"/>
      <c r="FUO108" s="75"/>
      <c r="FUR108" s="75"/>
      <c r="FUS108" s="72"/>
      <c r="FUT108" s="68"/>
      <c r="FUU108" s="1"/>
      <c r="FUV108" s="73"/>
      <c r="FUW108" s="74"/>
      <c r="FUY108" s="75"/>
      <c r="FVB108" s="75"/>
      <c r="FVC108" s="72"/>
      <c r="FVD108" s="68"/>
      <c r="FVE108" s="1"/>
      <c r="FVF108" s="73"/>
      <c r="FVG108" s="74"/>
      <c r="FVI108" s="75"/>
      <c r="FVL108" s="75"/>
      <c r="FVM108" s="72"/>
      <c r="FVN108" s="68"/>
      <c r="FVO108" s="1"/>
      <c r="FVP108" s="73"/>
      <c r="FVQ108" s="74"/>
      <c r="FVS108" s="75"/>
      <c r="FVV108" s="75"/>
      <c r="FVW108" s="72"/>
      <c r="FVX108" s="68"/>
      <c r="FVY108" s="1"/>
      <c r="FVZ108" s="73"/>
      <c r="FWA108" s="74"/>
      <c r="FWC108" s="75"/>
      <c r="FWF108" s="75"/>
      <c r="FWG108" s="72"/>
      <c r="FWH108" s="68"/>
      <c r="FWI108" s="1"/>
      <c r="FWJ108" s="73"/>
      <c r="FWK108" s="74"/>
      <c r="FWM108" s="75"/>
      <c r="FWP108" s="75"/>
      <c r="FWQ108" s="72"/>
      <c r="FWR108" s="68"/>
      <c r="FWS108" s="1"/>
      <c r="FWT108" s="73"/>
      <c r="FWU108" s="74"/>
      <c r="FWW108" s="75"/>
      <c r="FWZ108" s="75"/>
      <c r="FXA108" s="72"/>
      <c r="FXB108" s="68"/>
      <c r="FXC108" s="1"/>
      <c r="FXD108" s="73"/>
      <c r="FXE108" s="74"/>
      <c r="FXG108" s="75"/>
      <c r="FXJ108" s="75"/>
      <c r="FXK108" s="72"/>
      <c r="FXL108" s="68"/>
      <c r="FXM108" s="1"/>
      <c r="FXN108" s="73"/>
      <c r="FXO108" s="74"/>
      <c r="FXQ108" s="75"/>
      <c r="FXT108" s="75"/>
      <c r="FXU108" s="72"/>
      <c r="FXV108" s="68"/>
      <c r="FXW108" s="1"/>
      <c r="FXX108" s="73"/>
      <c r="FXY108" s="74"/>
      <c r="FYA108" s="75"/>
      <c r="FYD108" s="75"/>
      <c r="FYE108" s="72"/>
      <c r="FYF108" s="68"/>
      <c r="FYG108" s="1"/>
      <c r="FYH108" s="73"/>
      <c r="FYI108" s="74"/>
      <c r="FYK108" s="75"/>
      <c r="FYN108" s="75"/>
      <c r="FYO108" s="72"/>
      <c r="FYP108" s="68"/>
      <c r="FYQ108" s="1"/>
      <c r="FYR108" s="73"/>
      <c r="FYS108" s="74"/>
      <c r="FYU108" s="75"/>
      <c r="FYX108" s="75"/>
      <c r="FYY108" s="72"/>
      <c r="FYZ108" s="68"/>
      <c r="FZA108" s="1"/>
      <c r="FZB108" s="73"/>
      <c r="FZC108" s="74"/>
      <c r="FZE108" s="75"/>
      <c r="FZH108" s="75"/>
      <c r="FZI108" s="72"/>
      <c r="FZJ108" s="68"/>
      <c r="FZK108" s="1"/>
      <c r="FZL108" s="73"/>
      <c r="FZM108" s="74"/>
      <c r="FZO108" s="75"/>
      <c r="FZR108" s="75"/>
      <c r="FZS108" s="72"/>
      <c r="FZT108" s="68"/>
      <c r="FZU108" s="1"/>
      <c r="FZV108" s="73"/>
      <c r="FZW108" s="74"/>
      <c r="FZY108" s="75"/>
      <c r="GAB108" s="75"/>
      <c r="GAC108" s="72"/>
      <c r="GAD108" s="68"/>
      <c r="GAE108" s="1"/>
      <c r="GAF108" s="73"/>
      <c r="GAG108" s="74"/>
      <c r="GAI108" s="75"/>
      <c r="GAL108" s="75"/>
      <c r="GAM108" s="72"/>
      <c r="GAN108" s="68"/>
      <c r="GAO108" s="1"/>
      <c r="GAP108" s="73"/>
      <c r="GAQ108" s="74"/>
      <c r="GAS108" s="75"/>
      <c r="GAV108" s="75"/>
      <c r="GAW108" s="72"/>
      <c r="GAX108" s="68"/>
      <c r="GAY108" s="1"/>
      <c r="GAZ108" s="73"/>
      <c r="GBA108" s="74"/>
      <c r="GBC108" s="75"/>
      <c r="GBF108" s="75"/>
      <c r="GBG108" s="72"/>
      <c r="GBH108" s="68"/>
      <c r="GBI108" s="1"/>
      <c r="GBJ108" s="73"/>
      <c r="GBK108" s="74"/>
      <c r="GBM108" s="75"/>
      <c r="GBP108" s="75"/>
      <c r="GBQ108" s="72"/>
      <c r="GBR108" s="68"/>
      <c r="GBS108" s="1"/>
      <c r="GBT108" s="73"/>
      <c r="GBU108" s="74"/>
      <c r="GBW108" s="75"/>
      <c r="GBZ108" s="75"/>
      <c r="GCA108" s="72"/>
      <c r="GCB108" s="68"/>
      <c r="GCC108" s="1"/>
      <c r="GCD108" s="73"/>
      <c r="GCE108" s="74"/>
      <c r="GCG108" s="75"/>
      <c r="GCJ108" s="75"/>
      <c r="GCK108" s="72"/>
      <c r="GCL108" s="68"/>
      <c r="GCM108" s="1"/>
      <c r="GCN108" s="73"/>
      <c r="GCO108" s="74"/>
      <c r="GCQ108" s="75"/>
      <c r="GCT108" s="75"/>
      <c r="GCU108" s="72"/>
      <c r="GCV108" s="68"/>
      <c r="GCW108" s="1"/>
      <c r="GCX108" s="73"/>
      <c r="GCY108" s="74"/>
      <c r="GDA108" s="75"/>
      <c r="GDD108" s="75"/>
      <c r="GDE108" s="72"/>
      <c r="GDF108" s="68"/>
      <c r="GDG108" s="1"/>
      <c r="GDH108" s="73"/>
      <c r="GDI108" s="74"/>
      <c r="GDK108" s="75"/>
      <c r="GDN108" s="75"/>
      <c r="GDO108" s="72"/>
      <c r="GDP108" s="68"/>
      <c r="GDQ108" s="1"/>
      <c r="GDR108" s="73"/>
      <c r="GDS108" s="74"/>
      <c r="GDU108" s="75"/>
      <c r="GDX108" s="75"/>
      <c r="GDY108" s="72"/>
      <c r="GDZ108" s="68"/>
      <c r="GEA108" s="1"/>
      <c r="GEB108" s="73"/>
      <c r="GEC108" s="74"/>
      <c r="GEE108" s="75"/>
      <c r="GEH108" s="75"/>
      <c r="GEI108" s="72"/>
      <c r="GEJ108" s="68"/>
      <c r="GEK108" s="1"/>
      <c r="GEL108" s="73"/>
      <c r="GEM108" s="74"/>
      <c r="GEO108" s="75"/>
      <c r="GER108" s="75"/>
      <c r="GES108" s="72"/>
      <c r="GET108" s="68"/>
      <c r="GEU108" s="1"/>
      <c r="GEV108" s="73"/>
      <c r="GEW108" s="74"/>
      <c r="GEY108" s="75"/>
      <c r="GFB108" s="75"/>
      <c r="GFC108" s="72"/>
      <c r="GFD108" s="68"/>
      <c r="GFE108" s="1"/>
      <c r="GFF108" s="73"/>
      <c r="GFG108" s="74"/>
      <c r="GFI108" s="75"/>
      <c r="GFL108" s="75"/>
      <c r="GFM108" s="72"/>
      <c r="GFN108" s="68"/>
      <c r="GFO108" s="1"/>
      <c r="GFP108" s="73"/>
      <c r="GFQ108" s="74"/>
      <c r="GFS108" s="75"/>
      <c r="GFV108" s="75"/>
      <c r="GFW108" s="72"/>
      <c r="GFX108" s="68"/>
      <c r="GFY108" s="1"/>
      <c r="GFZ108" s="73"/>
      <c r="GGA108" s="74"/>
      <c r="GGC108" s="75"/>
      <c r="GGF108" s="75"/>
      <c r="GGG108" s="72"/>
      <c r="GGH108" s="68"/>
      <c r="GGI108" s="1"/>
      <c r="GGJ108" s="73"/>
      <c r="GGK108" s="74"/>
      <c r="GGM108" s="75"/>
      <c r="GGP108" s="75"/>
      <c r="GGQ108" s="72"/>
      <c r="GGR108" s="68"/>
      <c r="GGS108" s="1"/>
      <c r="GGT108" s="73"/>
      <c r="GGU108" s="74"/>
      <c r="GGW108" s="75"/>
      <c r="GGZ108" s="75"/>
      <c r="GHA108" s="72"/>
      <c r="GHB108" s="68"/>
      <c r="GHC108" s="1"/>
      <c r="GHD108" s="73"/>
      <c r="GHE108" s="74"/>
      <c r="GHG108" s="75"/>
      <c r="GHJ108" s="75"/>
      <c r="GHK108" s="72"/>
      <c r="GHL108" s="68"/>
      <c r="GHM108" s="1"/>
      <c r="GHN108" s="73"/>
      <c r="GHO108" s="74"/>
      <c r="GHQ108" s="75"/>
      <c r="GHT108" s="75"/>
      <c r="GHU108" s="72"/>
      <c r="GHV108" s="68"/>
      <c r="GHW108" s="1"/>
      <c r="GHX108" s="73"/>
      <c r="GHY108" s="74"/>
      <c r="GIA108" s="75"/>
      <c r="GID108" s="75"/>
      <c r="GIE108" s="72"/>
      <c r="GIF108" s="68"/>
      <c r="GIG108" s="1"/>
      <c r="GIH108" s="73"/>
      <c r="GII108" s="74"/>
      <c r="GIK108" s="75"/>
      <c r="GIN108" s="75"/>
      <c r="GIO108" s="72"/>
      <c r="GIP108" s="68"/>
      <c r="GIQ108" s="1"/>
      <c r="GIR108" s="73"/>
      <c r="GIS108" s="74"/>
      <c r="GIU108" s="75"/>
      <c r="GIX108" s="75"/>
      <c r="GIY108" s="72"/>
      <c r="GIZ108" s="68"/>
      <c r="GJA108" s="1"/>
      <c r="GJB108" s="73"/>
      <c r="GJC108" s="74"/>
      <c r="GJE108" s="75"/>
      <c r="GJH108" s="75"/>
      <c r="GJI108" s="72"/>
      <c r="GJJ108" s="68"/>
      <c r="GJK108" s="1"/>
      <c r="GJL108" s="73"/>
      <c r="GJM108" s="74"/>
      <c r="GJO108" s="75"/>
      <c r="GJR108" s="75"/>
      <c r="GJS108" s="72"/>
      <c r="GJT108" s="68"/>
      <c r="GJU108" s="1"/>
      <c r="GJV108" s="73"/>
      <c r="GJW108" s="74"/>
      <c r="GJY108" s="75"/>
      <c r="GKB108" s="75"/>
      <c r="GKC108" s="72"/>
      <c r="GKD108" s="68"/>
      <c r="GKE108" s="1"/>
      <c r="GKF108" s="73"/>
      <c r="GKG108" s="74"/>
      <c r="GKI108" s="75"/>
      <c r="GKL108" s="75"/>
      <c r="GKM108" s="72"/>
      <c r="GKN108" s="68"/>
      <c r="GKO108" s="1"/>
      <c r="GKP108" s="73"/>
      <c r="GKQ108" s="74"/>
      <c r="GKS108" s="75"/>
      <c r="GKV108" s="75"/>
      <c r="GKW108" s="72"/>
      <c r="GKX108" s="68"/>
      <c r="GKY108" s="1"/>
      <c r="GKZ108" s="73"/>
      <c r="GLA108" s="74"/>
      <c r="GLC108" s="75"/>
      <c r="GLF108" s="75"/>
      <c r="GLG108" s="72"/>
      <c r="GLH108" s="68"/>
      <c r="GLI108" s="1"/>
      <c r="GLJ108" s="73"/>
      <c r="GLK108" s="74"/>
      <c r="GLM108" s="75"/>
      <c r="GLP108" s="75"/>
      <c r="GLQ108" s="72"/>
      <c r="GLR108" s="68"/>
      <c r="GLS108" s="1"/>
      <c r="GLT108" s="73"/>
      <c r="GLU108" s="74"/>
      <c r="GLW108" s="75"/>
      <c r="GLZ108" s="75"/>
      <c r="GMA108" s="72"/>
      <c r="GMB108" s="68"/>
      <c r="GMC108" s="1"/>
      <c r="GMD108" s="73"/>
      <c r="GME108" s="74"/>
      <c r="GMG108" s="75"/>
      <c r="GMJ108" s="75"/>
      <c r="GMK108" s="72"/>
      <c r="GML108" s="68"/>
      <c r="GMM108" s="1"/>
      <c r="GMN108" s="73"/>
      <c r="GMO108" s="74"/>
      <c r="GMQ108" s="75"/>
      <c r="GMT108" s="75"/>
      <c r="GMU108" s="72"/>
      <c r="GMV108" s="68"/>
      <c r="GMW108" s="1"/>
      <c r="GMX108" s="73"/>
      <c r="GMY108" s="74"/>
      <c r="GNA108" s="75"/>
      <c r="GND108" s="75"/>
      <c r="GNE108" s="72"/>
      <c r="GNF108" s="68"/>
      <c r="GNG108" s="1"/>
      <c r="GNH108" s="73"/>
      <c r="GNI108" s="74"/>
      <c r="GNK108" s="75"/>
      <c r="GNN108" s="75"/>
      <c r="GNO108" s="72"/>
      <c r="GNP108" s="68"/>
      <c r="GNQ108" s="1"/>
      <c r="GNR108" s="73"/>
      <c r="GNS108" s="74"/>
      <c r="GNU108" s="75"/>
      <c r="GNX108" s="75"/>
      <c r="GNY108" s="72"/>
      <c r="GNZ108" s="68"/>
      <c r="GOA108" s="1"/>
      <c r="GOB108" s="73"/>
      <c r="GOC108" s="74"/>
      <c r="GOE108" s="75"/>
      <c r="GOH108" s="75"/>
      <c r="GOI108" s="72"/>
      <c r="GOJ108" s="68"/>
      <c r="GOK108" s="1"/>
      <c r="GOL108" s="73"/>
      <c r="GOM108" s="74"/>
      <c r="GOO108" s="75"/>
      <c r="GOR108" s="75"/>
      <c r="GOS108" s="72"/>
      <c r="GOT108" s="68"/>
      <c r="GOU108" s="1"/>
      <c r="GOV108" s="73"/>
      <c r="GOW108" s="74"/>
      <c r="GOY108" s="75"/>
      <c r="GPB108" s="75"/>
      <c r="GPC108" s="72"/>
      <c r="GPD108" s="68"/>
      <c r="GPE108" s="1"/>
      <c r="GPF108" s="73"/>
      <c r="GPG108" s="74"/>
      <c r="GPI108" s="75"/>
      <c r="GPL108" s="75"/>
      <c r="GPM108" s="72"/>
      <c r="GPN108" s="68"/>
      <c r="GPO108" s="1"/>
      <c r="GPP108" s="73"/>
      <c r="GPQ108" s="74"/>
      <c r="GPS108" s="75"/>
      <c r="GPV108" s="75"/>
      <c r="GPW108" s="72"/>
      <c r="GPX108" s="68"/>
      <c r="GPY108" s="1"/>
      <c r="GPZ108" s="73"/>
      <c r="GQA108" s="74"/>
      <c r="GQC108" s="75"/>
      <c r="GQF108" s="75"/>
      <c r="GQG108" s="72"/>
      <c r="GQH108" s="68"/>
      <c r="GQI108" s="1"/>
      <c r="GQJ108" s="73"/>
      <c r="GQK108" s="74"/>
      <c r="GQM108" s="75"/>
      <c r="GQP108" s="75"/>
      <c r="GQQ108" s="72"/>
      <c r="GQR108" s="68"/>
      <c r="GQS108" s="1"/>
      <c r="GQT108" s="73"/>
      <c r="GQU108" s="74"/>
      <c r="GQW108" s="75"/>
      <c r="GQZ108" s="75"/>
      <c r="GRA108" s="72"/>
      <c r="GRB108" s="68"/>
      <c r="GRC108" s="1"/>
      <c r="GRD108" s="73"/>
      <c r="GRE108" s="74"/>
      <c r="GRG108" s="75"/>
      <c r="GRJ108" s="75"/>
      <c r="GRK108" s="72"/>
      <c r="GRL108" s="68"/>
      <c r="GRM108" s="1"/>
      <c r="GRN108" s="73"/>
      <c r="GRO108" s="74"/>
      <c r="GRQ108" s="75"/>
      <c r="GRT108" s="75"/>
      <c r="GRU108" s="72"/>
      <c r="GRV108" s="68"/>
      <c r="GRW108" s="1"/>
      <c r="GRX108" s="73"/>
      <c r="GRY108" s="74"/>
      <c r="GSA108" s="75"/>
      <c r="GSD108" s="75"/>
      <c r="GSE108" s="72"/>
      <c r="GSF108" s="68"/>
      <c r="GSG108" s="1"/>
      <c r="GSH108" s="73"/>
      <c r="GSI108" s="74"/>
      <c r="GSK108" s="75"/>
      <c r="GSN108" s="75"/>
      <c r="GSO108" s="72"/>
      <c r="GSP108" s="68"/>
      <c r="GSQ108" s="1"/>
      <c r="GSR108" s="73"/>
      <c r="GSS108" s="74"/>
      <c r="GSU108" s="75"/>
      <c r="GSX108" s="75"/>
      <c r="GSY108" s="72"/>
      <c r="GSZ108" s="68"/>
      <c r="GTA108" s="1"/>
      <c r="GTB108" s="73"/>
      <c r="GTC108" s="74"/>
      <c r="GTE108" s="75"/>
      <c r="GTH108" s="75"/>
      <c r="GTI108" s="72"/>
      <c r="GTJ108" s="68"/>
      <c r="GTK108" s="1"/>
      <c r="GTL108" s="73"/>
      <c r="GTM108" s="74"/>
      <c r="GTO108" s="75"/>
      <c r="GTR108" s="75"/>
      <c r="GTS108" s="72"/>
      <c r="GTT108" s="68"/>
      <c r="GTU108" s="1"/>
      <c r="GTV108" s="73"/>
      <c r="GTW108" s="74"/>
      <c r="GTY108" s="75"/>
      <c r="GUB108" s="75"/>
      <c r="GUC108" s="72"/>
      <c r="GUD108" s="68"/>
      <c r="GUE108" s="1"/>
      <c r="GUF108" s="73"/>
      <c r="GUG108" s="74"/>
      <c r="GUI108" s="75"/>
      <c r="GUL108" s="75"/>
      <c r="GUM108" s="72"/>
      <c r="GUN108" s="68"/>
      <c r="GUO108" s="1"/>
      <c r="GUP108" s="73"/>
      <c r="GUQ108" s="74"/>
      <c r="GUS108" s="75"/>
      <c r="GUV108" s="75"/>
      <c r="GUW108" s="72"/>
      <c r="GUX108" s="68"/>
      <c r="GUY108" s="1"/>
      <c r="GUZ108" s="73"/>
      <c r="GVA108" s="74"/>
      <c r="GVC108" s="75"/>
      <c r="GVF108" s="75"/>
      <c r="GVG108" s="72"/>
      <c r="GVH108" s="68"/>
      <c r="GVI108" s="1"/>
      <c r="GVJ108" s="73"/>
      <c r="GVK108" s="74"/>
      <c r="GVM108" s="75"/>
      <c r="GVP108" s="75"/>
      <c r="GVQ108" s="72"/>
      <c r="GVR108" s="68"/>
      <c r="GVS108" s="1"/>
      <c r="GVT108" s="73"/>
      <c r="GVU108" s="74"/>
      <c r="GVW108" s="75"/>
      <c r="GVZ108" s="75"/>
      <c r="GWA108" s="72"/>
      <c r="GWB108" s="68"/>
      <c r="GWC108" s="1"/>
      <c r="GWD108" s="73"/>
      <c r="GWE108" s="74"/>
      <c r="GWG108" s="75"/>
      <c r="GWJ108" s="75"/>
      <c r="GWK108" s="72"/>
      <c r="GWL108" s="68"/>
      <c r="GWM108" s="1"/>
      <c r="GWN108" s="73"/>
      <c r="GWO108" s="74"/>
      <c r="GWQ108" s="75"/>
      <c r="GWT108" s="75"/>
      <c r="GWU108" s="72"/>
      <c r="GWV108" s="68"/>
      <c r="GWW108" s="1"/>
      <c r="GWX108" s="73"/>
      <c r="GWY108" s="74"/>
      <c r="GXA108" s="75"/>
      <c r="GXD108" s="75"/>
      <c r="GXE108" s="72"/>
      <c r="GXF108" s="68"/>
      <c r="GXG108" s="1"/>
      <c r="GXH108" s="73"/>
      <c r="GXI108" s="74"/>
      <c r="GXK108" s="75"/>
      <c r="GXN108" s="75"/>
      <c r="GXO108" s="72"/>
      <c r="GXP108" s="68"/>
      <c r="GXQ108" s="1"/>
      <c r="GXR108" s="73"/>
      <c r="GXS108" s="74"/>
      <c r="GXU108" s="75"/>
      <c r="GXX108" s="75"/>
      <c r="GXY108" s="72"/>
      <c r="GXZ108" s="68"/>
      <c r="GYA108" s="1"/>
      <c r="GYB108" s="73"/>
      <c r="GYC108" s="74"/>
      <c r="GYE108" s="75"/>
      <c r="GYH108" s="75"/>
      <c r="GYI108" s="72"/>
      <c r="GYJ108" s="68"/>
      <c r="GYK108" s="1"/>
      <c r="GYL108" s="73"/>
      <c r="GYM108" s="74"/>
      <c r="GYO108" s="75"/>
      <c r="GYR108" s="75"/>
      <c r="GYS108" s="72"/>
      <c r="GYT108" s="68"/>
      <c r="GYU108" s="1"/>
      <c r="GYV108" s="73"/>
      <c r="GYW108" s="74"/>
      <c r="GYY108" s="75"/>
      <c r="GZB108" s="75"/>
      <c r="GZC108" s="72"/>
      <c r="GZD108" s="68"/>
      <c r="GZE108" s="1"/>
      <c r="GZF108" s="73"/>
      <c r="GZG108" s="74"/>
      <c r="GZI108" s="75"/>
      <c r="GZL108" s="75"/>
      <c r="GZM108" s="72"/>
      <c r="GZN108" s="68"/>
      <c r="GZO108" s="1"/>
      <c r="GZP108" s="73"/>
      <c r="GZQ108" s="74"/>
      <c r="GZS108" s="75"/>
      <c r="GZV108" s="75"/>
      <c r="GZW108" s="72"/>
      <c r="GZX108" s="68"/>
      <c r="GZY108" s="1"/>
      <c r="GZZ108" s="73"/>
      <c r="HAA108" s="74"/>
      <c r="HAC108" s="75"/>
      <c r="HAF108" s="75"/>
      <c r="HAG108" s="72"/>
      <c r="HAH108" s="68"/>
      <c r="HAI108" s="1"/>
      <c r="HAJ108" s="73"/>
      <c r="HAK108" s="74"/>
      <c r="HAM108" s="75"/>
      <c r="HAP108" s="75"/>
      <c r="HAQ108" s="72"/>
      <c r="HAR108" s="68"/>
      <c r="HAS108" s="1"/>
      <c r="HAT108" s="73"/>
      <c r="HAU108" s="74"/>
      <c r="HAW108" s="75"/>
      <c r="HAZ108" s="75"/>
      <c r="HBA108" s="72"/>
      <c r="HBB108" s="68"/>
      <c r="HBC108" s="1"/>
      <c r="HBD108" s="73"/>
      <c r="HBE108" s="74"/>
      <c r="HBG108" s="75"/>
      <c r="HBJ108" s="75"/>
      <c r="HBK108" s="72"/>
      <c r="HBL108" s="68"/>
      <c r="HBM108" s="1"/>
      <c r="HBN108" s="73"/>
      <c r="HBO108" s="74"/>
      <c r="HBQ108" s="75"/>
      <c r="HBT108" s="75"/>
      <c r="HBU108" s="72"/>
      <c r="HBV108" s="68"/>
      <c r="HBW108" s="1"/>
      <c r="HBX108" s="73"/>
      <c r="HBY108" s="74"/>
      <c r="HCA108" s="75"/>
      <c r="HCD108" s="75"/>
      <c r="HCE108" s="72"/>
      <c r="HCF108" s="68"/>
      <c r="HCG108" s="1"/>
      <c r="HCH108" s="73"/>
      <c r="HCI108" s="74"/>
      <c r="HCK108" s="75"/>
      <c r="HCN108" s="75"/>
      <c r="HCO108" s="72"/>
      <c r="HCP108" s="68"/>
      <c r="HCQ108" s="1"/>
      <c r="HCR108" s="73"/>
      <c r="HCS108" s="74"/>
      <c r="HCU108" s="75"/>
      <c r="HCX108" s="75"/>
      <c r="HCY108" s="72"/>
      <c r="HCZ108" s="68"/>
      <c r="HDA108" s="1"/>
      <c r="HDB108" s="73"/>
      <c r="HDC108" s="74"/>
      <c r="HDE108" s="75"/>
      <c r="HDH108" s="75"/>
      <c r="HDI108" s="72"/>
      <c r="HDJ108" s="68"/>
      <c r="HDK108" s="1"/>
      <c r="HDL108" s="73"/>
      <c r="HDM108" s="74"/>
      <c r="HDO108" s="75"/>
      <c r="HDR108" s="75"/>
      <c r="HDS108" s="72"/>
      <c r="HDT108" s="68"/>
      <c r="HDU108" s="1"/>
      <c r="HDV108" s="73"/>
      <c r="HDW108" s="74"/>
      <c r="HDY108" s="75"/>
      <c r="HEB108" s="75"/>
      <c r="HEC108" s="72"/>
      <c r="HED108" s="68"/>
      <c r="HEE108" s="1"/>
      <c r="HEF108" s="73"/>
      <c r="HEG108" s="74"/>
      <c r="HEI108" s="75"/>
      <c r="HEL108" s="75"/>
      <c r="HEM108" s="72"/>
      <c r="HEN108" s="68"/>
      <c r="HEO108" s="1"/>
      <c r="HEP108" s="73"/>
      <c r="HEQ108" s="74"/>
      <c r="HES108" s="75"/>
      <c r="HEV108" s="75"/>
      <c r="HEW108" s="72"/>
      <c r="HEX108" s="68"/>
      <c r="HEY108" s="1"/>
      <c r="HEZ108" s="73"/>
      <c r="HFA108" s="74"/>
      <c r="HFC108" s="75"/>
      <c r="HFF108" s="75"/>
      <c r="HFG108" s="72"/>
      <c r="HFH108" s="68"/>
      <c r="HFI108" s="1"/>
      <c r="HFJ108" s="73"/>
      <c r="HFK108" s="74"/>
      <c r="HFM108" s="75"/>
      <c r="HFP108" s="75"/>
      <c r="HFQ108" s="72"/>
      <c r="HFR108" s="68"/>
      <c r="HFS108" s="1"/>
      <c r="HFT108" s="73"/>
      <c r="HFU108" s="74"/>
      <c r="HFW108" s="75"/>
      <c r="HFZ108" s="75"/>
      <c r="HGA108" s="72"/>
      <c r="HGB108" s="68"/>
      <c r="HGC108" s="1"/>
      <c r="HGD108" s="73"/>
      <c r="HGE108" s="74"/>
      <c r="HGG108" s="75"/>
      <c r="HGJ108" s="75"/>
      <c r="HGK108" s="72"/>
      <c r="HGL108" s="68"/>
      <c r="HGM108" s="1"/>
      <c r="HGN108" s="73"/>
      <c r="HGO108" s="74"/>
      <c r="HGQ108" s="75"/>
      <c r="HGT108" s="75"/>
      <c r="HGU108" s="72"/>
      <c r="HGV108" s="68"/>
      <c r="HGW108" s="1"/>
      <c r="HGX108" s="73"/>
      <c r="HGY108" s="74"/>
      <c r="HHA108" s="75"/>
      <c r="HHD108" s="75"/>
      <c r="HHE108" s="72"/>
      <c r="HHF108" s="68"/>
      <c r="HHG108" s="1"/>
      <c r="HHH108" s="73"/>
      <c r="HHI108" s="74"/>
      <c r="HHK108" s="75"/>
      <c r="HHN108" s="75"/>
      <c r="HHO108" s="72"/>
      <c r="HHP108" s="68"/>
      <c r="HHQ108" s="1"/>
      <c r="HHR108" s="73"/>
      <c r="HHS108" s="74"/>
      <c r="HHU108" s="75"/>
      <c r="HHX108" s="75"/>
      <c r="HHY108" s="72"/>
      <c r="HHZ108" s="68"/>
      <c r="HIA108" s="1"/>
      <c r="HIB108" s="73"/>
      <c r="HIC108" s="74"/>
      <c r="HIE108" s="75"/>
      <c r="HIH108" s="75"/>
      <c r="HII108" s="72"/>
      <c r="HIJ108" s="68"/>
      <c r="HIK108" s="1"/>
      <c r="HIL108" s="73"/>
      <c r="HIM108" s="74"/>
      <c r="HIO108" s="75"/>
      <c r="HIR108" s="75"/>
      <c r="HIS108" s="72"/>
      <c r="HIT108" s="68"/>
      <c r="HIU108" s="1"/>
      <c r="HIV108" s="73"/>
      <c r="HIW108" s="74"/>
      <c r="HIY108" s="75"/>
      <c r="HJB108" s="75"/>
      <c r="HJC108" s="72"/>
      <c r="HJD108" s="68"/>
      <c r="HJE108" s="1"/>
      <c r="HJF108" s="73"/>
      <c r="HJG108" s="74"/>
      <c r="HJI108" s="75"/>
      <c r="HJL108" s="75"/>
      <c r="HJM108" s="72"/>
      <c r="HJN108" s="68"/>
      <c r="HJO108" s="1"/>
      <c r="HJP108" s="73"/>
      <c r="HJQ108" s="74"/>
      <c r="HJS108" s="75"/>
      <c r="HJV108" s="75"/>
      <c r="HJW108" s="72"/>
      <c r="HJX108" s="68"/>
      <c r="HJY108" s="1"/>
      <c r="HJZ108" s="73"/>
      <c r="HKA108" s="74"/>
      <c r="HKC108" s="75"/>
      <c r="HKF108" s="75"/>
      <c r="HKG108" s="72"/>
      <c r="HKH108" s="68"/>
      <c r="HKI108" s="1"/>
      <c r="HKJ108" s="73"/>
      <c r="HKK108" s="74"/>
      <c r="HKM108" s="75"/>
      <c r="HKP108" s="75"/>
      <c r="HKQ108" s="72"/>
      <c r="HKR108" s="68"/>
      <c r="HKS108" s="1"/>
      <c r="HKT108" s="73"/>
      <c r="HKU108" s="74"/>
      <c r="HKW108" s="75"/>
      <c r="HKZ108" s="75"/>
      <c r="HLA108" s="72"/>
      <c r="HLB108" s="68"/>
      <c r="HLC108" s="1"/>
      <c r="HLD108" s="73"/>
      <c r="HLE108" s="74"/>
      <c r="HLG108" s="75"/>
      <c r="HLJ108" s="75"/>
      <c r="HLK108" s="72"/>
      <c r="HLL108" s="68"/>
      <c r="HLM108" s="1"/>
      <c r="HLN108" s="73"/>
      <c r="HLO108" s="74"/>
      <c r="HLQ108" s="75"/>
      <c r="HLT108" s="75"/>
      <c r="HLU108" s="72"/>
      <c r="HLV108" s="68"/>
      <c r="HLW108" s="1"/>
      <c r="HLX108" s="73"/>
      <c r="HLY108" s="74"/>
      <c r="HMA108" s="75"/>
      <c r="HMD108" s="75"/>
      <c r="HME108" s="72"/>
      <c r="HMF108" s="68"/>
      <c r="HMG108" s="1"/>
      <c r="HMH108" s="73"/>
      <c r="HMI108" s="74"/>
      <c r="HMK108" s="75"/>
      <c r="HMN108" s="75"/>
      <c r="HMO108" s="72"/>
      <c r="HMP108" s="68"/>
      <c r="HMQ108" s="1"/>
      <c r="HMR108" s="73"/>
      <c r="HMS108" s="74"/>
      <c r="HMU108" s="75"/>
      <c r="HMX108" s="75"/>
      <c r="HMY108" s="72"/>
      <c r="HMZ108" s="68"/>
      <c r="HNA108" s="1"/>
      <c r="HNB108" s="73"/>
      <c r="HNC108" s="74"/>
      <c r="HNE108" s="75"/>
      <c r="HNH108" s="75"/>
      <c r="HNI108" s="72"/>
      <c r="HNJ108" s="68"/>
      <c r="HNK108" s="1"/>
      <c r="HNL108" s="73"/>
      <c r="HNM108" s="74"/>
      <c r="HNO108" s="75"/>
      <c r="HNR108" s="75"/>
      <c r="HNS108" s="72"/>
      <c r="HNT108" s="68"/>
      <c r="HNU108" s="1"/>
      <c r="HNV108" s="73"/>
      <c r="HNW108" s="74"/>
      <c r="HNY108" s="75"/>
      <c r="HOB108" s="75"/>
      <c r="HOC108" s="72"/>
      <c r="HOD108" s="68"/>
      <c r="HOE108" s="1"/>
      <c r="HOF108" s="73"/>
      <c r="HOG108" s="74"/>
      <c r="HOI108" s="75"/>
      <c r="HOL108" s="75"/>
      <c r="HOM108" s="72"/>
      <c r="HON108" s="68"/>
      <c r="HOO108" s="1"/>
      <c r="HOP108" s="73"/>
      <c r="HOQ108" s="74"/>
      <c r="HOS108" s="75"/>
      <c r="HOV108" s="75"/>
      <c r="HOW108" s="72"/>
      <c r="HOX108" s="68"/>
      <c r="HOY108" s="1"/>
      <c r="HOZ108" s="73"/>
      <c r="HPA108" s="74"/>
      <c r="HPC108" s="75"/>
      <c r="HPF108" s="75"/>
      <c r="HPG108" s="72"/>
      <c r="HPH108" s="68"/>
      <c r="HPI108" s="1"/>
      <c r="HPJ108" s="73"/>
      <c r="HPK108" s="74"/>
      <c r="HPM108" s="75"/>
      <c r="HPP108" s="75"/>
      <c r="HPQ108" s="72"/>
      <c r="HPR108" s="68"/>
      <c r="HPS108" s="1"/>
      <c r="HPT108" s="73"/>
      <c r="HPU108" s="74"/>
      <c r="HPW108" s="75"/>
      <c r="HPZ108" s="75"/>
      <c r="HQA108" s="72"/>
      <c r="HQB108" s="68"/>
      <c r="HQC108" s="1"/>
      <c r="HQD108" s="73"/>
      <c r="HQE108" s="74"/>
      <c r="HQG108" s="75"/>
      <c r="HQJ108" s="75"/>
      <c r="HQK108" s="72"/>
      <c r="HQL108" s="68"/>
      <c r="HQM108" s="1"/>
      <c r="HQN108" s="73"/>
      <c r="HQO108" s="74"/>
      <c r="HQQ108" s="75"/>
      <c r="HQT108" s="75"/>
      <c r="HQU108" s="72"/>
      <c r="HQV108" s="68"/>
      <c r="HQW108" s="1"/>
      <c r="HQX108" s="73"/>
      <c r="HQY108" s="74"/>
      <c r="HRA108" s="75"/>
      <c r="HRD108" s="75"/>
      <c r="HRE108" s="72"/>
      <c r="HRF108" s="68"/>
      <c r="HRG108" s="1"/>
      <c r="HRH108" s="73"/>
      <c r="HRI108" s="74"/>
      <c r="HRK108" s="75"/>
      <c r="HRN108" s="75"/>
      <c r="HRO108" s="72"/>
      <c r="HRP108" s="68"/>
      <c r="HRQ108" s="1"/>
      <c r="HRR108" s="73"/>
      <c r="HRS108" s="74"/>
      <c r="HRU108" s="75"/>
      <c r="HRX108" s="75"/>
      <c r="HRY108" s="72"/>
      <c r="HRZ108" s="68"/>
      <c r="HSA108" s="1"/>
      <c r="HSB108" s="73"/>
      <c r="HSC108" s="74"/>
      <c r="HSE108" s="75"/>
      <c r="HSH108" s="75"/>
      <c r="HSI108" s="72"/>
      <c r="HSJ108" s="68"/>
      <c r="HSK108" s="1"/>
      <c r="HSL108" s="73"/>
      <c r="HSM108" s="74"/>
      <c r="HSO108" s="75"/>
      <c r="HSR108" s="75"/>
      <c r="HSS108" s="72"/>
      <c r="HST108" s="68"/>
      <c r="HSU108" s="1"/>
      <c r="HSV108" s="73"/>
      <c r="HSW108" s="74"/>
      <c r="HSY108" s="75"/>
      <c r="HTB108" s="75"/>
      <c r="HTC108" s="72"/>
      <c r="HTD108" s="68"/>
      <c r="HTE108" s="1"/>
      <c r="HTF108" s="73"/>
      <c r="HTG108" s="74"/>
      <c r="HTI108" s="75"/>
      <c r="HTL108" s="75"/>
      <c r="HTM108" s="72"/>
      <c r="HTN108" s="68"/>
      <c r="HTO108" s="1"/>
      <c r="HTP108" s="73"/>
      <c r="HTQ108" s="74"/>
      <c r="HTS108" s="75"/>
      <c r="HTV108" s="75"/>
      <c r="HTW108" s="72"/>
      <c r="HTX108" s="68"/>
      <c r="HTY108" s="1"/>
      <c r="HTZ108" s="73"/>
      <c r="HUA108" s="74"/>
      <c r="HUC108" s="75"/>
      <c r="HUF108" s="75"/>
      <c r="HUG108" s="72"/>
      <c r="HUH108" s="68"/>
      <c r="HUI108" s="1"/>
      <c r="HUJ108" s="73"/>
      <c r="HUK108" s="74"/>
      <c r="HUM108" s="75"/>
      <c r="HUP108" s="75"/>
      <c r="HUQ108" s="72"/>
      <c r="HUR108" s="68"/>
      <c r="HUS108" s="1"/>
      <c r="HUT108" s="73"/>
      <c r="HUU108" s="74"/>
      <c r="HUW108" s="75"/>
      <c r="HUZ108" s="75"/>
      <c r="HVA108" s="72"/>
      <c r="HVB108" s="68"/>
      <c r="HVC108" s="1"/>
      <c r="HVD108" s="73"/>
      <c r="HVE108" s="74"/>
      <c r="HVG108" s="75"/>
      <c r="HVJ108" s="75"/>
      <c r="HVK108" s="72"/>
      <c r="HVL108" s="68"/>
      <c r="HVM108" s="1"/>
      <c r="HVN108" s="73"/>
      <c r="HVO108" s="74"/>
      <c r="HVQ108" s="75"/>
      <c r="HVT108" s="75"/>
      <c r="HVU108" s="72"/>
      <c r="HVV108" s="68"/>
      <c r="HVW108" s="1"/>
      <c r="HVX108" s="73"/>
      <c r="HVY108" s="74"/>
      <c r="HWA108" s="75"/>
      <c r="HWD108" s="75"/>
      <c r="HWE108" s="72"/>
      <c r="HWF108" s="68"/>
      <c r="HWG108" s="1"/>
      <c r="HWH108" s="73"/>
      <c r="HWI108" s="74"/>
      <c r="HWK108" s="75"/>
      <c r="HWN108" s="75"/>
      <c r="HWO108" s="72"/>
      <c r="HWP108" s="68"/>
      <c r="HWQ108" s="1"/>
      <c r="HWR108" s="73"/>
      <c r="HWS108" s="74"/>
      <c r="HWU108" s="75"/>
      <c r="HWX108" s="75"/>
      <c r="HWY108" s="72"/>
      <c r="HWZ108" s="68"/>
      <c r="HXA108" s="1"/>
      <c r="HXB108" s="73"/>
      <c r="HXC108" s="74"/>
      <c r="HXE108" s="75"/>
      <c r="HXH108" s="75"/>
      <c r="HXI108" s="72"/>
      <c r="HXJ108" s="68"/>
      <c r="HXK108" s="1"/>
      <c r="HXL108" s="73"/>
      <c r="HXM108" s="74"/>
      <c r="HXO108" s="75"/>
      <c r="HXR108" s="75"/>
      <c r="HXS108" s="72"/>
      <c r="HXT108" s="68"/>
      <c r="HXU108" s="1"/>
      <c r="HXV108" s="73"/>
      <c r="HXW108" s="74"/>
      <c r="HXY108" s="75"/>
      <c r="HYB108" s="75"/>
      <c r="HYC108" s="72"/>
      <c r="HYD108" s="68"/>
      <c r="HYE108" s="1"/>
      <c r="HYF108" s="73"/>
      <c r="HYG108" s="74"/>
      <c r="HYI108" s="75"/>
      <c r="HYL108" s="75"/>
      <c r="HYM108" s="72"/>
      <c r="HYN108" s="68"/>
      <c r="HYO108" s="1"/>
      <c r="HYP108" s="73"/>
      <c r="HYQ108" s="74"/>
      <c r="HYS108" s="75"/>
      <c r="HYV108" s="75"/>
      <c r="HYW108" s="72"/>
      <c r="HYX108" s="68"/>
      <c r="HYY108" s="1"/>
      <c r="HYZ108" s="73"/>
      <c r="HZA108" s="74"/>
      <c r="HZC108" s="75"/>
      <c r="HZF108" s="75"/>
      <c r="HZG108" s="72"/>
      <c r="HZH108" s="68"/>
      <c r="HZI108" s="1"/>
      <c r="HZJ108" s="73"/>
      <c r="HZK108" s="74"/>
      <c r="HZM108" s="75"/>
      <c r="HZP108" s="75"/>
      <c r="HZQ108" s="72"/>
      <c r="HZR108" s="68"/>
      <c r="HZS108" s="1"/>
      <c r="HZT108" s="73"/>
      <c r="HZU108" s="74"/>
      <c r="HZW108" s="75"/>
      <c r="HZZ108" s="75"/>
      <c r="IAA108" s="72"/>
      <c r="IAB108" s="68"/>
      <c r="IAC108" s="1"/>
      <c r="IAD108" s="73"/>
      <c r="IAE108" s="74"/>
      <c r="IAG108" s="75"/>
      <c r="IAJ108" s="75"/>
      <c r="IAK108" s="72"/>
      <c r="IAL108" s="68"/>
      <c r="IAM108" s="1"/>
      <c r="IAN108" s="73"/>
      <c r="IAO108" s="74"/>
      <c r="IAQ108" s="75"/>
      <c r="IAT108" s="75"/>
      <c r="IAU108" s="72"/>
      <c r="IAV108" s="68"/>
      <c r="IAW108" s="1"/>
      <c r="IAX108" s="73"/>
      <c r="IAY108" s="74"/>
      <c r="IBA108" s="75"/>
      <c r="IBD108" s="75"/>
      <c r="IBE108" s="72"/>
      <c r="IBF108" s="68"/>
      <c r="IBG108" s="1"/>
      <c r="IBH108" s="73"/>
      <c r="IBI108" s="74"/>
      <c r="IBK108" s="75"/>
      <c r="IBN108" s="75"/>
      <c r="IBO108" s="72"/>
      <c r="IBP108" s="68"/>
      <c r="IBQ108" s="1"/>
      <c r="IBR108" s="73"/>
      <c r="IBS108" s="74"/>
      <c r="IBU108" s="75"/>
      <c r="IBX108" s="75"/>
      <c r="IBY108" s="72"/>
      <c r="IBZ108" s="68"/>
      <c r="ICA108" s="1"/>
      <c r="ICB108" s="73"/>
      <c r="ICC108" s="74"/>
      <c r="ICE108" s="75"/>
      <c r="ICH108" s="75"/>
      <c r="ICI108" s="72"/>
      <c r="ICJ108" s="68"/>
      <c r="ICK108" s="1"/>
      <c r="ICL108" s="73"/>
      <c r="ICM108" s="74"/>
      <c r="ICO108" s="75"/>
      <c r="ICR108" s="75"/>
      <c r="ICS108" s="72"/>
      <c r="ICT108" s="68"/>
      <c r="ICU108" s="1"/>
      <c r="ICV108" s="73"/>
      <c r="ICW108" s="74"/>
      <c r="ICY108" s="75"/>
      <c r="IDB108" s="75"/>
      <c r="IDC108" s="72"/>
      <c r="IDD108" s="68"/>
      <c r="IDE108" s="1"/>
      <c r="IDF108" s="73"/>
      <c r="IDG108" s="74"/>
      <c r="IDI108" s="75"/>
      <c r="IDL108" s="75"/>
      <c r="IDM108" s="72"/>
      <c r="IDN108" s="68"/>
      <c r="IDO108" s="1"/>
      <c r="IDP108" s="73"/>
      <c r="IDQ108" s="74"/>
      <c r="IDS108" s="75"/>
      <c r="IDV108" s="75"/>
      <c r="IDW108" s="72"/>
      <c r="IDX108" s="68"/>
      <c r="IDY108" s="1"/>
      <c r="IDZ108" s="73"/>
      <c r="IEA108" s="74"/>
      <c r="IEC108" s="75"/>
      <c r="IEF108" s="75"/>
      <c r="IEG108" s="72"/>
      <c r="IEH108" s="68"/>
      <c r="IEI108" s="1"/>
      <c r="IEJ108" s="73"/>
      <c r="IEK108" s="74"/>
      <c r="IEM108" s="75"/>
      <c r="IEP108" s="75"/>
      <c r="IEQ108" s="72"/>
      <c r="IER108" s="68"/>
      <c r="IES108" s="1"/>
      <c r="IET108" s="73"/>
      <c r="IEU108" s="74"/>
      <c r="IEW108" s="75"/>
      <c r="IEZ108" s="75"/>
      <c r="IFA108" s="72"/>
      <c r="IFB108" s="68"/>
      <c r="IFC108" s="1"/>
      <c r="IFD108" s="73"/>
      <c r="IFE108" s="74"/>
      <c r="IFG108" s="75"/>
      <c r="IFJ108" s="75"/>
      <c r="IFK108" s="72"/>
      <c r="IFL108" s="68"/>
      <c r="IFM108" s="1"/>
      <c r="IFN108" s="73"/>
      <c r="IFO108" s="74"/>
      <c r="IFQ108" s="75"/>
      <c r="IFT108" s="75"/>
      <c r="IFU108" s="72"/>
      <c r="IFV108" s="68"/>
      <c r="IFW108" s="1"/>
      <c r="IFX108" s="73"/>
      <c r="IFY108" s="74"/>
      <c r="IGA108" s="75"/>
      <c r="IGD108" s="75"/>
      <c r="IGE108" s="72"/>
      <c r="IGF108" s="68"/>
      <c r="IGG108" s="1"/>
      <c r="IGH108" s="73"/>
      <c r="IGI108" s="74"/>
      <c r="IGK108" s="75"/>
      <c r="IGN108" s="75"/>
      <c r="IGO108" s="72"/>
      <c r="IGP108" s="68"/>
      <c r="IGQ108" s="1"/>
      <c r="IGR108" s="73"/>
      <c r="IGS108" s="74"/>
      <c r="IGU108" s="75"/>
      <c r="IGX108" s="75"/>
      <c r="IGY108" s="72"/>
      <c r="IGZ108" s="68"/>
      <c r="IHA108" s="1"/>
      <c r="IHB108" s="73"/>
      <c r="IHC108" s="74"/>
      <c r="IHE108" s="75"/>
      <c r="IHH108" s="75"/>
      <c r="IHI108" s="72"/>
      <c r="IHJ108" s="68"/>
      <c r="IHK108" s="1"/>
      <c r="IHL108" s="73"/>
      <c r="IHM108" s="74"/>
      <c r="IHO108" s="75"/>
      <c r="IHR108" s="75"/>
      <c r="IHS108" s="72"/>
      <c r="IHT108" s="68"/>
      <c r="IHU108" s="1"/>
      <c r="IHV108" s="73"/>
      <c r="IHW108" s="74"/>
      <c r="IHY108" s="75"/>
      <c r="IIB108" s="75"/>
      <c r="IIC108" s="72"/>
      <c r="IID108" s="68"/>
      <c r="IIE108" s="1"/>
      <c r="IIF108" s="73"/>
      <c r="IIG108" s="74"/>
      <c r="III108" s="75"/>
      <c r="IIL108" s="75"/>
      <c r="IIM108" s="72"/>
      <c r="IIN108" s="68"/>
      <c r="IIO108" s="1"/>
      <c r="IIP108" s="73"/>
      <c r="IIQ108" s="74"/>
      <c r="IIS108" s="75"/>
      <c r="IIV108" s="75"/>
      <c r="IIW108" s="72"/>
      <c r="IIX108" s="68"/>
      <c r="IIY108" s="1"/>
      <c r="IIZ108" s="73"/>
      <c r="IJA108" s="74"/>
      <c r="IJC108" s="75"/>
      <c r="IJF108" s="75"/>
      <c r="IJG108" s="72"/>
      <c r="IJH108" s="68"/>
      <c r="IJI108" s="1"/>
      <c r="IJJ108" s="73"/>
      <c r="IJK108" s="74"/>
      <c r="IJM108" s="75"/>
      <c r="IJP108" s="75"/>
      <c r="IJQ108" s="72"/>
      <c r="IJR108" s="68"/>
      <c r="IJS108" s="1"/>
      <c r="IJT108" s="73"/>
      <c r="IJU108" s="74"/>
      <c r="IJW108" s="75"/>
      <c r="IJZ108" s="75"/>
      <c r="IKA108" s="72"/>
      <c r="IKB108" s="68"/>
      <c r="IKC108" s="1"/>
      <c r="IKD108" s="73"/>
      <c r="IKE108" s="74"/>
      <c r="IKG108" s="75"/>
      <c r="IKJ108" s="75"/>
      <c r="IKK108" s="72"/>
      <c r="IKL108" s="68"/>
      <c r="IKM108" s="1"/>
      <c r="IKN108" s="73"/>
      <c r="IKO108" s="74"/>
      <c r="IKQ108" s="75"/>
      <c r="IKT108" s="75"/>
      <c r="IKU108" s="72"/>
      <c r="IKV108" s="68"/>
      <c r="IKW108" s="1"/>
      <c r="IKX108" s="73"/>
      <c r="IKY108" s="74"/>
      <c r="ILA108" s="75"/>
      <c r="ILD108" s="75"/>
      <c r="ILE108" s="72"/>
      <c r="ILF108" s="68"/>
      <c r="ILG108" s="1"/>
      <c r="ILH108" s="73"/>
      <c r="ILI108" s="74"/>
      <c r="ILK108" s="75"/>
      <c r="ILN108" s="75"/>
      <c r="ILO108" s="72"/>
      <c r="ILP108" s="68"/>
      <c r="ILQ108" s="1"/>
      <c r="ILR108" s="73"/>
      <c r="ILS108" s="74"/>
      <c r="ILU108" s="75"/>
      <c r="ILX108" s="75"/>
      <c r="ILY108" s="72"/>
      <c r="ILZ108" s="68"/>
      <c r="IMA108" s="1"/>
      <c r="IMB108" s="73"/>
      <c r="IMC108" s="74"/>
      <c r="IME108" s="75"/>
      <c r="IMH108" s="75"/>
      <c r="IMI108" s="72"/>
      <c r="IMJ108" s="68"/>
      <c r="IMK108" s="1"/>
      <c r="IML108" s="73"/>
      <c r="IMM108" s="74"/>
      <c r="IMO108" s="75"/>
      <c r="IMR108" s="75"/>
      <c r="IMS108" s="72"/>
      <c r="IMT108" s="68"/>
      <c r="IMU108" s="1"/>
      <c r="IMV108" s="73"/>
      <c r="IMW108" s="74"/>
      <c r="IMY108" s="75"/>
      <c r="INB108" s="75"/>
      <c r="INC108" s="72"/>
      <c r="IND108" s="68"/>
      <c r="INE108" s="1"/>
      <c r="INF108" s="73"/>
      <c r="ING108" s="74"/>
      <c r="INI108" s="75"/>
      <c r="INL108" s="75"/>
      <c r="INM108" s="72"/>
      <c r="INN108" s="68"/>
      <c r="INO108" s="1"/>
      <c r="INP108" s="73"/>
      <c r="INQ108" s="74"/>
      <c r="INS108" s="75"/>
      <c r="INV108" s="75"/>
      <c r="INW108" s="72"/>
      <c r="INX108" s="68"/>
      <c r="INY108" s="1"/>
      <c r="INZ108" s="73"/>
      <c r="IOA108" s="74"/>
      <c r="IOC108" s="75"/>
      <c r="IOF108" s="75"/>
      <c r="IOG108" s="72"/>
      <c r="IOH108" s="68"/>
      <c r="IOI108" s="1"/>
      <c r="IOJ108" s="73"/>
      <c r="IOK108" s="74"/>
      <c r="IOM108" s="75"/>
      <c r="IOP108" s="75"/>
      <c r="IOQ108" s="72"/>
      <c r="IOR108" s="68"/>
      <c r="IOS108" s="1"/>
      <c r="IOT108" s="73"/>
      <c r="IOU108" s="74"/>
      <c r="IOW108" s="75"/>
      <c r="IOZ108" s="75"/>
      <c r="IPA108" s="72"/>
      <c r="IPB108" s="68"/>
      <c r="IPC108" s="1"/>
      <c r="IPD108" s="73"/>
      <c r="IPE108" s="74"/>
      <c r="IPG108" s="75"/>
      <c r="IPJ108" s="75"/>
      <c r="IPK108" s="72"/>
      <c r="IPL108" s="68"/>
      <c r="IPM108" s="1"/>
      <c r="IPN108" s="73"/>
      <c r="IPO108" s="74"/>
      <c r="IPQ108" s="75"/>
      <c r="IPT108" s="75"/>
      <c r="IPU108" s="72"/>
      <c r="IPV108" s="68"/>
      <c r="IPW108" s="1"/>
      <c r="IPX108" s="73"/>
      <c r="IPY108" s="74"/>
      <c r="IQA108" s="75"/>
      <c r="IQD108" s="75"/>
      <c r="IQE108" s="72"/>
      <c r="IQF108" s="68"/>
      <c r="IQG108" s="1"/>
      <c r="IQH108" s="73"/>
      <c r="IQI108" s="74"/>
      <c r="IQK108" s="75"/>
      <c r="IQN108" s="75"/>
      <c r="IQO108" s="72"/>
      <c r="IQP108" s="68"/>
      <c r="IQQ108" s="1"/>
      <c r="IQR108" s="73"/>
      <c r="IQS108" s="74"/>
      <c r="IQU108" s="75"/>
      <c r="IQX108" s="75"/>
      <c r="IQY108" s="72"/>
      <c r="IQZ108" s="68"/>
      <c r="IRA108" s="1"/>
      <c r="IRB108" s="73"/>
      <c r="IRC108" s="74"/>
      <c r="IRE108" s="75"/>
      <c r="IRH108" s="75"/>
      <c r="IRI108" s="72"/>
      <c r="IRJ108" s="68"/>
      <c r="IRK108" s="1"/>
      <c r="IRL108" s="73"/>
      <c r="IRM108" s="74"/>
      <c r="IRO108" s="75"/>
      <c r="IRR108" s="75"/>
      <c r="IRS108" s="72"/>
      <c r="IRT108" s="68"/>
      <c r="IRU108" s="1"/>
      <c r="IRV108" s="73"/>
      <c r="IRW108" s="74"/>
      <c r="IRY108" s="75"/>
      <c r="ISB108" s="75"/>
      <c r="ISC108" s="72"/>
      <c r="ISD108" s="68"/>
      <c r="ISE108" s="1"/>
      <c r="ISF108" s="73"/>
      <c r="ISG108" s="74"/>
      <c r="ISI108" s="75"/>
      <c r="ISL108" s="75"/>
      <c r="ISM108" s="72"/>
      <c r="ISN108" s="68"/>
      <c r="ISO108" s="1"/>
      <c r="ISP108" s="73"/>
      <c r="ISQ108" s="74"/>
      <c r="ISS108" s="75"/>
      <c r="ISV108" s="75"/>
      <c r="ISW108" s="72"/>
      <c r="ISX108" s="68"/>
      <c r="ISY108" s="1"/>
      <c r="ISZ108" s="73"/>
      <c r="ITA108" s="74"/>
      <c r="ITC108" s="75"/>
      <c r="ITF108" s="75"/>
      <c r="ITG108" s="72"/>
      <c r="ITH108" s="68"/>
      <c r="ITI108" s="1"/>
      <c r="ITJ108" s="73"/>
      <c r="ITK108" s="74"/>
      <c r="ITM108" s="75"/>
      <c r="ITP108" s="75"/>
      <c r="ITQ108" s="72"/>
      <c r="ITR108" s="68"/>
      <c r="ITS108" s="1"/>
      <c r="ITT108" s="73"/>
      <c r="ITU108" s="74"/>
      <c r="ITW108" s="75"/>
      <c r="ITZ108" s="75"/>
      <c r="IUA108" s="72"/>
      <c r="IUB108" s="68"/>
      <c r="IUC108" s="1"/>
      <c r="IUD108" s="73"/>
      <c r="IUE108" s="74"/>
      <c r="IUG108" s="75"/>
      <c r="IUJ108" s="75"/>
      <c r="IUK108" s="72"/>
      <c r="IUL108" s="68"/>
      <c r="IUM108" s="1"/>
      <c r="IUN108" s="73"/>
      <c r="IUO108" s="74"/>
      <c r="IUQ108" s="75"/>
      <c r="IUT108" s="75"/>
      <c r="IUU108" s="72"/>
      <c r="IUV108" s="68"/>
      <c r="IUW108" s="1"/>
      <c r="IUX108" s="73"/>
      <c r="IUY108" s="74"/>
      <c r="IVA108" s="75"/>
      <c r="IVD108" s="75"/>
      <c r="IVE108" s="72"/>
      <c r="IVF108" s="68"/>
      <c r="IVG108" s="1"/>
      <c r="IVH108" s="73"/>
      <c r="IVI108" s="74"/>
      <c r="IVK108" s="75"/>
      <c r="IVN108" s="75"/>
      <c r="IVO108" s="72"/>
      <c r="IVP108" s="68"/>
      <c r="IVQ108" s="1"/>
      <c r="IVR108" s="73"/>
      <c r="IVS108" s="74"/>
      <c r="IVU108" s="75"/>
      <c r="IVX108" s="75"/>
      <c r="IVY108" s="72"/>
      <c r="IVZ108" s="68"/>
      <c r="IWA108" s="1"/>
      <c r="IWB108" s="73"/>
      <c r="IWC108" s="74"/>
      <c r="IWE108" s="75"/>
      <c r="IWH108" s="75"/>
      <c r="IWI108" s="72"/>
      <c r="IWJ108" s="68"/>
      <c r="IWK108" s="1"/>
      <c r="IWL108" s="73"/>
      <c r="IWM108" s="74"/>
      <c r="IWO108" s="75"/>
      <c r="IWR108" s="75"/>
      <c r="IWS108" s="72"/>
      <c r="IWT108" s="68"/>
      <c r="IWU108" s="1"/>
      <c r="IWV108" s="73"/>
      <c r="IWW108" s="74"/>
      <c r="IWY108" s="75"/>
      <c r="IXB108" s="75"/>
      <c r="IXC108" s="72"/>
      <c r="IXD108" s="68"/>
      <c r="IXE108" s="1"/>
      <c r="IXF108" s="73"/>
      <c r="IXG108" s="74"/>
      <c r="IXI108" s="75"/>
      <c r="IXL108" s="75"/>
      <c r="IXM108" s="72"/>
      <c r="IXN108" s="68"/>
      <c r="IXO108" s="1"/>
      <c r="IXP108" s="73"/>
      <c r="IXQ108" s="74"/>
      <c r="IXS108" s="75"/>
      <c r="IXV108" s="75"/>
      <c r="IXW108" s="72"/>
      <c r="IXX108" s="68"/>
      <c r="IXY108" s="1"/>
      <c r="IXZ108" s="73"/>
      <c r="IYA108" s="74"/>
      <c r="IYC108" s="75"/>
      <c r="IYF108" s="75"/>
      <c r="IYG108" s="72"/>
      <c r="IYH108" s="68"/>
      <c r="IYI108" s="1"/>
      <c r="IYJ108" s="73"/>
      <c r="IYK108" s="74"/>
      <c r="IYM108" s="75"/>
      <c r="IYP108" s="75"/>
      <c r="IYQ108" s="72"/>
      <c r="IYR108" s="68"/>
      <c r="IYS108" s="1"/>
      <c r="IYT108" s="73"/>
      <c r="IYU108" s="74"/>
      <c r="IYW108" s="75"/>
      <c r="IYZ108" s="75"/>
      <c r="IZA108" s="72"/>
      <c r="IZB108" s="68"/>
      <c r="IZC108" s="1"/>
      <c r="IZD108" s="73"/>
      <c r="IZE108" s="74"/>
      <c r="IZG108" s="75"/>
      <c r="IZJ108" s="75"/>
      <c r="IZK108" s="72"/>
      <c r="IZL108" s="68"/>
      <c r="IZM108" s="1"/>
      <c r="IZN108" s="73"/>
      <c r="IZO108" s="74"/>
      <c r="IZQ108" s="75"/>
      <c r="IZT108" s="75"/>
      <c r="IZU108" s="72"/>
      <c r="IZV108" s="68"/>
      <c r="IZW108" s="1"/>
      <c r="IZX108" s="73"/>
      <c r="IZY108" s="74"/>
      <c r="JAA108" s="75"/>
      <c r="JAD108" s="75"/>
      <c r="JAE108" s="72"/>
      <c r="JAF108" s="68"/>
      <c r="JAG108" s="1"/>
      <c r="JAH108" s="73"/>
      <c r="JAI108" s="74"/>
      <c r="JAK108" s="75"/>
      <c r="JAN108" s="75"/>
      <c r="JAO108" s="72"/>
      <c r="JAP108" s="68"/>
      <c r="JAQ108" s="1"/>
      <c r="JAR108" s="73"/>
      <c r="JAS108" s="74"/>
      <c r="JAU108" s="75"/>
      <c r="JAX108" s="75"/>
      <c r="JAY108" s="72"/>
      <c r="JAZ108" s="68"/>
      <c r="JBA108" s="1"/>
      <c r="JBB108" s="73"/>
      <c r="JBC108" s="74"/>
      <c r="JBE108" s="75"/>
      <c r="JBH108" s="75"/>
      <c r="JBI108" s="72"/>
      <c r="JBJ108" s="68"/>
      <c r="JBK108" s="1"/>
      <c r="JBL108" s="73"/>
      <c r="JBM108" s="74"/>
      <c r="JBO108" s="75"/>
      <c r="JBR108" s="75"/>
      <c r="JBS108" s="72"/>
      <c r="JBT108" s="68"/>
      <c r="JBU108" s="1"/>
      <c r="JBV108" s="73"/>
      <c r="JBW108" s="74"/>
      <c r="JBY108" s="75"/>
      <c r="JCB108" s="75"/>
      <c r="JCC108" s="72"/>
      <c r="JCD108" s="68"/>
      <c r="JCE108" s="1"/>
      <c r="JCF108" s="73"/>
      <c r="JCG108" s="74"/>
      <c r="JCI108" s="75"/>
      <c r="JCL108" s="75"/>
      <c r="JCM108" s="72"/>
      <c r="JCN108" s="68"/>
      <c r="JCO108" s="1"/>
      <c r="JCP108" s="73"/>
      <c r="JCQ108" s="74"/>
      <c r="JCS108" s="75"/>
      <c r="JCV108" s="75"/>
      <c r="JCW108" s="72"/>
      <c r="JCX108" s="68"/>
      <c r="JCY108" s="1"/>
      <c r="JCZ108" s="73"/>
      <c r="JDA108" s="74"/>
      <c r="JDC108" s="75"/>
      <c r="JDF108" s="75"/>
      <c r="JDG108" s="72"/>
      <c r="JDH108" s="68"/>
      <c r="JDI108" s="1"/>
      <c r="JDJ108" s="73"/>
      <c r="JDK108" s="74"/>
      <c r="JDM108" s="75"/>
      <c r="JDP108" s="75"/>
      <c r="JDQ108" s="72"/>
      <c r="JDR108" s="68"/>
      <c r="JDS108" s="1"/>
      <c r="JDT108" s="73"/>
      <c r="JDU108" s="74"/>
      <c r="JDW108" s="75"/>
      <c r="JDZ108" s="75"/>
      <c r="JEA108" s="72"/>
      <c r="JEB108" s="68"/>
      <c r="JEC108" s="1"/>
      <c r="JED108" s="73"/>
      <c r="JEE108" s="74"/>
      <c r="JEG108" s="75"/>
      <c r="JEJ108" s="75"/>
      <c r="JEK108" s="72"/>
      <c r="JEL108" s="68"/>
      <c r="JEM108" s="1"/>
      <c r="JEN108" s="73"/>
      <c r="JEO108" s="74"/>
      <c r="JEQ108" s="75"/>
      <c r="JET108" s="75"/>
      <c r="JEU108" s="72"/>
      <c r="JEV108" s="68"/>
      <c r="JEW108" s="1"/>
      <c r="JEX108" s="73"/>
      <c r="JEY108" s="74"/>
      <c r="JFA108" s="75"/>
      <c r="JFD108" s="75"/>
      <c r="JFE108" s="72"/>
      <c r="JFF108" s="68"/>
      <c r="JFG108" s="1"/>
      <c r="JFH108" s="73"/>
      <c r="JFI108" s="74"/>
      <c r="JFK108" s="75"/>
      <c r="JFN108" s="75"/>
      <c r="JFO108" s="72"/>
      <c r="JFP108" s="68"/>
      <c r="JFQ108" s="1"/>
      <c r="JFR108" s="73"/>
      <c r="JFS108" s="74"/>
      <c r="JFU108" s="75"/>
      <c r="JFX108" s="75"/>
      <c r="JFY108" s="72"/>
      <c r="JFZ108" s="68"/>
      <c r="JGA108" s="1"/>
      <c r="JGB108" s="73"/>
      <c r="JGC108" s="74"/>
      <c r="JGE108" s="75"/>
      <c r="JGH108" s="75"/>
      <c r="JGI108" s="72"/>
      <c r="JGJ108" s="68"/>
      <c r="JGK108" s="1"/>
      <c r="JGL108" s="73"/>
      <c r="JGM108" s="74"/>
      <c r="JGO108" s="75"/>
      <c r="JGR108" s="75"/>
      <c r="JGS108" s="72"/>
      <c r="JGT108" s="68"/>
      <c r="JGU108" s="1"/>
      <c r="JGV108" s="73"/>
      <c r="JGW108" s="74"/>
      <c r="JGY108" s="75"/>
      <c r="JHB108" s="75"/>
      <c r="JHC108" s="72"/>
      <c r="JHD108" s="68"/>
      <c r="JHE108" s="1"/>
      <c r="JHF108" s="73"/>
      <c r="JHG108" s="74"/>
      <c r="JHI108" s="75"/>
      <c r="JHL108" s="75"/>
      <c r="JHM108" s="72"/>
      <c r="JHN108" s="68"/>
      <c r="JHO108" s="1"/>
      <c r="JHP108" s="73"/>
      <c r="JHQ108" s="74"/>
      <c r="JHS108" s="75"/>
      <c r="JHV108" s="75"/>
      <c r="JHW108" s="72"/>
      <c r="JHX108" s="68"/>
      <c r="JHY108" s="1"/>
      <c r="JHZ108" s="73"/>
      <c r="JIA108" s="74"/>
      <c r="JIC108" s="75"/>
      <c r="JIF108" s="75"/>
      <c r="JIG108" s="72"/>
      <c r="JIH108" s="68"/>
      <c r="JII108" s="1"/>
      <c r="JIJ108" s="73"/>
      <c r="JIK108" s="74"/>
      <c r="JIM108" s="75"/>
      <c r="JIP108" s="75"/>
      <c r="JIQ108" s="72"/>
      <c r="JIR108" s="68"/>
      <c r="JIS108" s="1"/>
      <c r="JIT108" s="73"/>
      <c r="JIU108" s="74"/>
      <c r="JIW108" s="75"/>
      <c r="JIZ108" s="75"/>
      <c r="JJA108" s="72"/>
      <c r="JJB108" s="68"/>
      <c r="JJC108" s="1"/>
      <c r="JJD108" s="73"/>
      <c r="JJE108" s="74"/>
      <c r="JJG108" s="75"/>
      <c r="JJJ108" s="75"/>
      <c r="JJK108" s="72"/>
      <c r="JJL108" s="68"/>
      <c r="JJM108" s="1"/>
      <c r="JJN108" s="73"/>
      <c r="JJO108" s="74"/>
      <c r="JJQ108" s="75"/>
      <c r="JJT108" s="75"/>
      <c r="JJU108" s="72"/>
      <c r="JJV108" s="68"/>
      <c r="JJW108" s="1"/>
      <c r="JJX108" s="73"/>
      <c r="JJY108" s="74"/>
      <c r="JKA108" s="75"/>
      <c r="JKD108" s="75"/>
      <c r="JKE108" s="72"/>
      <c r="JKF108" s="68"/>
      <c r="JKG108" s="1"/>
      <c r="JKH108" s="73"/>
      <c r="JKI108" s="74"/>
      <c r="JKK108" s="75"/>
      <c r="JKN108" s="75"/>
      <c r="JKO108" s="72"/>
      <c r="JKP108" s="68"/>
      <c r="JKQ108" s="1"/>
      <c r="JKR108" s="73"/>
      <c r="JKS108" s="74"/>
      <c r="JKU108" s="75"/>
      <c r="JKX108" s="75"/>
      <c r="JKY108" s="72"/>
      <c r="JKZ108" s="68"/>
      <c r="JLA108" s="1"/>
      <c r="JLB108" s="73"/>
      <c r="JLC108" s="74"/>
      <c r="JLE108" s="75"/>
      <c r="JLH108" s="75"/>
      <c r="JLI108" s="72"/>
      <c r="JLJ108" s="68"/>
      <c r="JLK108" s="1"/>
      <c r="JLL108" s="73"/>
      <c r="JLM108" s="74"/>
      <c r="JLO108" s="75"/>
      <c r="JLR108" s="75"/>
      <c r="JLS108" s="72"/>
      <c r="JLT108" s="68"/>
      <c r="JLU108" s="1"/>
      <c r="JLV108" s="73"/>
      <c r="JLW108" s="74"/>
      <c r="JLY108" s="75"/>
      <c r="JMB108" s="75"/>
      <c r="JMC108" s="72"/>
      <c r="JMD108" s="68"/>
      <c r="JME108" s="1"/>
      <c r="JMF108" s="73"/>
      <c r="JMG108" s="74"/>
      <c r="JMI108" s="75"/>
      <c r="JML108" s="75"/>
      <c r="JMM108" s="72"/>
      <c r="JMN108" s="68"/>
      <c r="JMO108" s="1"/>
      <c r="JMP108" s="73"/>
      <c r="JMQ108" s="74"/>
      <c r="JMS108" s="75"/>
      <c r="JMV108" s="75"/>
      <c r="JMW108" s="72"/>
      <c r="JMX108" s="68"/>
      <c r="JMY108" s="1"/>
      <c r="JMZ108" s="73"/>
      <c r="JNA108" s="74"/>
      <c r="JNC108" s="75"/>
      <c r="JNF108" s="75"/>
      <c r="JNG108" s="72"/>
      <c r="JNH108" s="68"/>
      <c r="JNI108" s="1"/>
      <c r="JNJ108" s="73"/>
      <c r="JNK108" s="74"/>
      <c r="JNM108" s="75"/>
      <c r="JNP108" s="75"/>
      <c r="JNQ108" s="72"/>
      <c r="JNR108" s="68"/>
      <c r="JNS108" s="1"/>
      <c r="JNT108" s="73"/>
      <c r="JNU108" s="74"/>
      <c r="JNW108" s="75"/>
      <c r="JNZ108" s="75"/>
      <c r="JOA108" s="72"/>
      <c r="JOB108" s="68"/>
      <c r="JOC108" s="1"/>
      <c r="JOD108" s="73"/>
      <c r="JOE108" s="74"/>
      <c r="JOG108" s="75"/>
      <c r="JOJ108" s="75"/>
      <c r="JOK108" s="72"/>
      <c r="JOL108" s="68"/>
      <c r="JOM108" s="1"/>
      <c r="JON108" s="73"/>
      <c r="JOO108" s="74"/>
      <c r="JOQ108" s="75"/>
      <c r="JOT108" s="75"/>
      <c r="JOU108" s="72"/>
      <c r="JOV108" s="68"/>
      <c r="JOW108" s="1"/>
      <c r="JOX108" s="73"/>
      <c r="JOY108" s="74"/>
      <c r="JPA108" s="75"/>
      <c r="JPD108" s="75"/>
      <c r="JPE108" s="72"/>
      <c r="JPF108" s="68"/>
      <c r="JPG108" s="1"/>
      <c r="JPH108" s="73"/>
      <c r="JPI108" s="74"/>
      <c r="JPK108" s="75"/>
      <c r="JPN108" s="75"/>
      <c r="JPO108" s="72"/>
      <c r="JPP108" s="68"/>
      <c r="JPQ108" s="1"/>
      <c r="JPR108" s="73"/>
      <c r="JPS108" s="74"/>
      <c r="JPU108" s="75"/>
      <c r="JPX108" s="75"/>
      <c r="JPY108" s="72"/>
      <c r="JPZ108" s="68"/>
      <c r="JQA108" s="1"/>
      <c r="JQB108" s="73"/>
      <c r="JQC108" s="74"/>
      <c r="JQE108" s="75"/>
      <c r="JQH108" s="75"/>
      <c r="JQI108" s="72"/>
      <c r="JQJ108" s="68"/>
      <c r="JQK108" s="1"/>
      <c r="JQL108" s="73"/>
      <c r="JQM108" s="74"/>
      <c r="JQO108" s="75"/>
      <c r="JQR108" s="75"/>
      <c r="JQS108" s="72"/>
      <c r="JQT108" s="68"/>
      <c r="JQU108" s="1"/>
      <c r="JQV108" s="73"/>
      <c r="JQW108" s="74"/>
      <c r="JQY108" s="75"/>
      <c r="JRB108" s="75"/>
      <c r="JRC108" s="72"/>
      <c r="JRD108" s="68"/>
      <c r="JRE108" s="1"/>
      <c r="JRF108" s="73"/>
      <c r="JRG108" s="74"/>
      <c r="JRI108" s="75"/>
      <c r="JRL108" s="75"/>
      <c r="JRM108" s="72"/>
      <c r="JRN108" s="68"/>
      <c r="JRO108" s="1"/>
      <c r="JRP108" s="73"/>
      <c r="JRQ108" s="74"/>
      <c r="JRS108" s="75"/>
      <c r="JRV108" s="75"/>
      <c r="JRW108" s="72"/>
      <c r="JRX108" s="68"/>
      <c r="JRY108" s="1"/>
      <c r="JRZ108" s="73"/>
      <c r="JSA108" s="74"/>
      <c r="JSC108" s="75"/>
      <c r="JSF108" s="75"/>
      <c r="JSG108" s="72"/>
      <c r="JSH108" s="68"/>
      <c r="JSI108" s="1"/>
      <c r="JSJ108" s="73"/>
      <c r="JSK108" s="74"/>
      <c r="JSM108" s="75"/>
      <c r="JSP108" s="75"/>
      <c r="JSQ108" s="72"/>
      <c r="JSR108" s="68"/>
      <c r="JSS108" s="1"/>
      <c r="JST108" s="73"/>
      <c r="JSU108" s="74"/>
      <c r="JSW108" s="75"/>
      <c r="JSZ108" s="75"/>
      <c r="JTA108" s="72"/>
      <c r="JTB108" s="68"/>
      <c r="JTC108" s="1"/>
      <c r="JTD108" s="73"/>
      <c r="JTE108" s="74"/>
      <c r="JTG108" s="75"/>
      <c r="JTJ108" s="75"/>
      <c r="JTK108" s="72"/>
      <c r="JTL108" s="68"/>
      <c r="JTM108" s="1"/>
      <c r="JTN108" s="73"/>
      <c r="JTO108" s="74"/>
      <c r="JTQ108" s="75"/>
      <c r="JTT108" s="75"/>
      <c r="JTU108" s="72"/>
      <c r="JTV108" s="68"/>
      <c r="JTW108" s="1"/>
      <c r="JTX108" s="73"/>
      <c r="JTY108" s="74"/>
      <c r="JUA108" s="75"/>
      <c r="JUD108" s="75"/>
      <c r="JUE108" s="72"/>
      <c r="JUF108" s="68"/>
      <c r="JUG108" s="1"/>
      <c r="JUH108" s="73"/>
      <c r="JUI108" s="74"/>
      <c r="JUK108" s="75"/>
      <c r="JUN108" s="75"/>
      <c r="JUO108" s="72"/>
      <c r="JUP108" s="68"/>
      <c r="JUQ108" s="1"/>
      <c r="JUR108" s="73"/>
      <c r="JUS108" s="74"/>
      <c r="JUU108" s="75"/>
      <c r="JUX108" s="75"/>
      <c r="JUY108" s="72"/>
      <c r="JUZ108" s="68"/>
      <c r="JVA108" s="1"/>
      <c r="JVB108" s="73"/>
      <c r="JVC108" s="74"/>
      <c r="JVE108" s="75"/>
      <c r="JVH108" s="75"/>
      <c r="JVI108" s="72"/>
      <c r="JVJ108" s="68"/>
      <c r="JVK108" s="1"/>
      <c r="JVL108" s="73"/>
      <c r="JVM108" s="74"/>
      <c r="JVO108" s="75"/>
      <c r="JVR108" s="75"/>
      <c r="JVS108" s="72"/>
      <c r="JVT108" s="68"/>
      <c r="JVU108" s="1"/>
      <c r="JVV108" s="73"/>
      <c r="JVW108" s="74"/>
      <c r="JVY108" s="75"/>
      <c r="JWB108" s="75"/>
      <c r="JWC108" s="72"/>
      <c r="JWD108" s="68"/>
      <c r="JWE108" s="1"/>
      <c r="JWF108" s="73"/>
      <c r="JWG108" s="74"/>
      <c r="JWI108" s="75"/>
      <c r="JWL108" s="75"/>
      <c r="JWM108" s="72"/>
      <c r="JWN108" s="68"/>
      <c r="JWO108" s="1"/>
      <c r="JWP108" s="73"/>
      <c r="JWQ108" s="74"/>
      <c r="JWS108" s="75"/>
      <c r="JWV108" s="75"/>
      <c r="JWW108" s="72"/>
      <c r="JWX108" s="68"/>
      <c r="JWY108" s="1"/>
      <c r="JWZ108" s="73"/>
      <c r="JXA108" s="74"/>
      <c r="JXC108" s="75"/>
      <c r="JXF108" s="75"/>
      <c r="JXG108" s="72"/>
      <c r="JXH108" s="68"/>
      <c r="JXI108" s="1"/>
      <c r="JXJ108" s="73"/>
      <c r="JXK108" s="74"/>
      <c r="JXM108" s="75"/>
      <c r="JXP108" s="75"/>
      <c r="JXQ108" s="72"/>
      <c r="JXR108" s="68"/>
      <c r="JXS108" s="1"/>
      <c r="JXT108" s="73"/>
      <c r="JXU108" s="74"/>
      <c r="JXW108" s="75"/>
      <c r="JXZ108" s="75"/>
      <c r="JYA108" s="72"/>
      <c r="JYB108" s="68"/>
      <c r="JYC108" s="1"/>
      <c r="JYD108" s="73"/>
      <c r="JYE108" s="74"/>
      <c r="JYG108" s="75"/>
      <c r="JYJ108" s="75"/>
      <c r="JYK108" s="72"/>
      <c r="JYL108" s="68"/>
      <c r="JYM108" s="1"/>
      <c r="JYN108" s="73"/>
      <c r="JYO108" s="74"/>
      <c r="JYQ108" s="75"/>
      <c r="JYT108" s="75"/>
      <c r="JYU108" s="72"/>
      <c r="JYV108" s="68"/>
      <c r="JYW108" s="1"/>
      <c r="JYX108" s="73"/>
      <c r="JYY108" s="74"/>
      <c r="JZA108" s="75"/>
      <c r="JZD108" s="75"/>
      <c r="JZE108" s="72"/>
      <c r="JZF108" s="68"/>
      <c r="JZG108" s="1"/>
      <c r="JZH108" s="73"/>
      <c r="JZI108" s="74"/>
      <c r="JZK108" s="75"/>
      <c r="JZN108" s="75"/>
      <c r="JZO108" s="72"/>
      <c r="JZP108" s="68"/>
      <c r="JZQ108" s="1"/>
      <c r="JZR108" s="73"/>
      <c r="JZS108" s="74"/>
      <c r="JZU108" s="75"/>
      <c r="JZX108" s="75"/>
      <c r="JZY108" s="72"/>
      <c r="JZZ108" s="68"/>
      <c r="KAA108" s="1"/>
      <c r="KAB108" s="73"/>
      <c r="KAC108" s="74"/>
      <c r="KAE108" s="75"/>
      <c r="KAH108" s="75"/>
      <c r="KAI108" s="72"/>
      <c r="KAJ108" s="68"/>
      <c r="KAK108" s="1"/>
      <c r="KAL108" s="73"/>
      <c r="KAM108" s="74"/>
      <c r="KAO108" s="75"/>
      <c r="KAR108" s="75"/>
      <c r="KAS108" s="72"/>
      <c r="KAT108" s="68"/>
      <c r="KAU108" s="1"/>
      <c r="KAV108" s="73"/>
      <c r="KAW108" s="74"/>
      <c r="KAY108" s="75"/>
      <c r="KBB108" s="75"/>
      <c r="KBC108" s="72"/>
      <c r="KBD108" s="68"/>
      <c r="KBE108" s="1"/>
      <c r="KBF108" s="73"/>
      <c r="KBG108" s="74"/>
      <c r="KBI108" s="75"/>
      <c r="KBL108" s="75"/>
      <c r="KBM108" s="72"/>
      <c r="KBN108" s="68"/>
      <c r="KBO108" s="1"/>
      <c r="KBP108" s="73"/>
      <c r="KBQ108" s="74"/>
      <c r="KBS108" s="75"/>
      <c r="KBV108" s="75"/>
      <c r="KBW108" s="72"/>
      <c r="KBX108" s="68"/>
      <c r="KBY108" s="1"/>
      <c r="KBZ108" s="73"/>
      <c r="KCA108" s="74"/>
      <c r="KCC108" s="75"/>
      <c r="KCF108" s="75"/>
      <c r="KCG108" s="72"/>
      <c r="KCH108" s="68"/>
      <c r="KCI108" s="1"/>
      <c r="KCJ108" s="73"/>
      <c r="KCK108" s="74"/>
      <c r="KCM108" s="75"/>
      <c r="KCP108" s="75"/>
      <c r="KCQ108" s="72"/>
      <c r="KCR108" s="68"/>
      <c r="KCS108" s="1"/>
      <c r="KCT108" s="73"/>
      <c r="KCU108" s="74"/>
      <c r="KCW108" s="75"/>
      <c r="KCZ108" s="75"/>
      <c r="KDA108" s="72"/>
      <c r="KDB108" s="68"/>
      <c r="KDC108" s="1"/>
      <c r="KDD108" s="73"/>
      <c r="KDE108" s="74"/>
      <c r="KDG108" s="75"/>
      <c r="KDJ108" s="75"/>
      <c r="KDK108" s="72"/>
      <c r="KDL108" s="68"/>
      <c r="KDM108" s="1"/>
      <c r="KDN108" s="73"/>
      <c r="KDO108" s="74"/>
      <c r="KDQ108" s="75"/>
      <c r="KDT108" s="75"/>
      <c r="KDU108" s="72"/>
      <c r="KDV108" s="68"/>
      <c r="KDW108" s="1"/>
      <c r="KDX108" s="73"/>
      <c r="KDY108" s="74"/>
      <c r="KEA108" s="75"/>
      <c r="KED108" s="75"/>
      <c r="KEE108" s="72"/>
      <c r="KEF108" s="68"/>
      <c r="KEG108" s="1"/>
      <c r="KEH108" s="73"/>
      <c r="KEI108" s="74"/>
      <c r="KEK108" s="75"/>
      <c r="KEN108" s="75"/>
      <c r="KEO108" s="72"/>
      <c r="KEP108" s="68"/>
      <c r="KEQ108" s="1"/>
      <c r="KER108" s="73"/>
      <c r="KES108" s="74"/>
      <c r="KEU108" s="75"/>
      <c r="KEX108" s="75"/>
      <c r="KEY108" s="72"/>
      <c r="KEZ108" s="68"/>
      <c r="KFA108" s="1"/>
      <c r="KFB108" s="73"/>
      <c r="KFC108" s="74"/>
      <c r="KFE108" s="75"/>
      <c r="KFH108" s="75"/>
      <c r="KFI108" s="72"/>
      <c r="KFJ108" s="68"/>
      <c r="KFK108" s="1"/>
      <c r="KFL108" s="73"/>
      <c r="KFM108" s="74"/>
      <c r="KFO108" s="75"/>
      <c r="KFR108" s="75"/>
      <c r="KFS108" s="72"/>
      <c r="KFT108" s="68"/>
      <c r="KFU108" s="1"/>
      <c r="KFV108" s="73"/>
      <c r="KFW108" s="74"/>
      <c r="KFY108" s="75"/>
      <c r="KGB108" s="75"/>
      <c r="KGC108" s="72"/>
      <c r="KGD108" s="68"/>
      <c r="KGE108" s="1"/>
      <c r="KGF108" s="73"/>
      <c r="KGG108" s="74"/>
      <c r="KGI108" s="75"/>
      <c r="KGL108" s="75"/>
      <c r="KGM108" s="72"/>
      <c r="KGN108" s="68"/>
      <c r="KGO108" s="1"/>
      <c r="KGP108" s="73"/>
      <c r="KGQ108" s="74"/>
      <c r="KGS108" s="75"/>
      <c r="KGV108" s="75"/>
      <c r="KGW108" s="72"/>
      <c r="KGX108" s="68"/>
      <c r="KGY108" s="1"/>
      <c r="KGZ108" s="73"/>
      <c r="KHA108" s="74"/>
      <c r="KHC108" s="75"/>
      <c r="KHF108" s="75"/>
      <c r="KHG108" s="72"/>
      <c r="KHH108" s="68"/>
      <c r="KHI108" s="1"/>
      <c r="KHJ108" s="73"/>
      <c r="KHK108" s="74"/>
      <c r="KHM108" s="75"/>
      <c r="KHP108" s="75"/>
      <c r="KHQ108" s="72"/>
      <c r="KHR108" s="68"/>
      <c r="KHS108" s="1"/>
      <c r="KHT108" s="73"/>
      <c r="KHU108" s="74"/>
      <c r="KHW108" s="75"/>
      <c r="KHZ108" s="75"/>
      <c r="KIA108" s="72"/>
      <c r="KIB108" s="68"/>
      <c r="KIC108" s="1"/>
      <c r="KID108" s="73"/>
      <c r="KIE108" s="74"/>
      <c r="KIG108" s="75"/>
      <c r="KIJ108" s="75"/>
      <c r="KIK108" s="72"/>
      <c r="KIL108" s="68"/>
      <c r="KIM108" s="1"/>
      <c r="KIN108" s="73"/>
      <c r="KIO108" s="74"/>
      <c r="KIQ108" s="75"/>
      <c r="KIT108" s="75"/>
      <c r="KIU108" s="72"/>
      <c r="KIV108" s="68"/>
      <c r="KIW108" s="1"/>
      <c r="KIX108" s="73"/>
      <c r="KIY108" s="74"/>
      <c r="KJA108" s="75"/>
      <c r="KJD108" s="75"/>
      <c r="KJE108" s="72"/>
      <c r="KJF108" s="68"/>
      <c r="KJG108" s="1"/>
      <c r="KJH108" s="73"/>
      <c r="KJI108" s="74"/>
      <c r="KJK108" s="75"/>
      <c r="KJN108" s="75"/>
      <c r="KJO108" s="72"/>
      <c r="KJP108" s="68"/>
      <c r="KJQ108" s="1"/>
      <c r="KJR108" s="73"/>
      <c r="KJS108" s="74"/>
      <c r="KJU108" s="75"/>
      <c r="KJX108" s="75"/>
      <c r="KJY108" s="72"/>
      <c r="KJZ108" s="68"/>
      <c r="KKA108" s="1"/>
      <c r="KKB108" s="73"/>
      <c r="KKC108" s="74"/>
      <c r="KKE108" s="75"/>
      <c r="KKH108" s="75"/>
      <c r="KKI108" s="72"/>
      <c r="KKJ108" s="68"/>
      <c r="KKK108" s="1"/>
      <c r="KKL108" s="73"/>
      <c r="KKM108" s="74"/>
      <c r="KKO108" s="75"/>
      <c r="KKR108" s="75"/>
      <c r="KKS108" s="72"/>
      <c r="KKT108" s="68"/>
      <c r="KKU108" s="1"/>
      <c r="KKV108" s="73"/>
      <c r="KKW108" s="74"/>
      <c r="KKY108" s="75"/>
      <c r="KLB108" s="75"/>
      <c r="KLC108" s="72"/>
      <c r="KLD108" s="68"/>
      <c r="KLE108" s="1"/>
      <c r="KLF108" s="73"/>
      <c r="KLG108" s="74"/>
      <c r="KLI108" s="75"/>
      <c r="KLL108" s="75"/>
      <c r="KLM108" s="72"/>
      <c r="KLN108" s="68"/>
      <c r="KLO108" s="1"/>
      <c r="KLP108" s="73"/>
      <c r="KLQ108" s="74"/>
      <c r="KLS108" s="75"/>
      <c r="KLV108" s="75"/>
      <c r="KLW108" s="72"/>
      <c r="KLX108" s="68"/>
      <c r="KLY108" s="1"/>
      <c r="KLZ108" s="73"/>
      <c r="KMA108" s="74"/>
      <c r="KMC108" s="75"/>
      <c r="KMF108" s="75"/>
      <c r="KMG108" s="72"/>
      <c r="KMH108" s="68"/>
      <c r="KMI108" s="1"/>
      <c r="KMJ108" s="73"/>
      <c r="KMK108" s="74"/>
      <c r="KMM108" s="75"/>
      <c r="KMP108" s="75"/>
      <c r="KMQ108" s="72"/>
      <c r="KMR108" s="68"/>
      <c r="KMS108" s="1"/>
      <c r="KMT108" s="73"/>
      <c r="KMU108" s="74"/>
      <c r="KMW108" s="75"/>
      <c r="KMZ108" s="75"/>
      <c r="KNA108" s="72"/>
      <c r="KNB108" s="68"/>
      <c r="KNC108" s="1"/>
      <c r="KND108" s="73"/>
      <c r="KNE108" s="74"/>
      <c r="KNG108" s="75"/>
      <c r="KNJ108" s="75"/>
      <c r="KNK108" s="72"/>
      <c r="KNL108" s="68"/>
      <c r="KNM108" s="1"/>
      <c r="KNN108" s="73"/>
      <c r="KNO108" s="74"/>
      <c r="KNQ108" s="75"/>
      <c r="KNT108" s="75"/>
      <c r="KNU108" s="72"/>
      <c r="KNV108" s="68"/>
      <c r="KNW108" s="1"/>
      <c r="KNX108" s="73"/>
      <c r="KNY108" s="74"/>
      <c r="KOA108" s="75"/>
      <c r="KOD108" s="75"/>
      <c r="KOE108" s="72"/>
      <c r="KOF108" s="68"/>
      <c r="KOG108" s="1"/>
      <c r="KOH108" s="73"/>
      <c r="KOI108" s="74"/>
      <c r="KOK108" s="75"/>
      <c r="KON108" s="75"/>
      <c r="KOO108" s="72"/>
      <c r="KOP108" s="68"/>
      <c r="KOQ108" s="1"/>
      <c r="KOR108" s="73"/>
      <c r="KOS108" s="74"/>
      <c r="KOU108" s="75"/>
      <c r="KOX108" s="75"/>
      <c r="KOY108" s="72"/>
      <c r="KOZ108" s="68"/>
      <c r="KPA108" s="1"/>
      <c r="KPB108" s="73"/>
      <c r="KPC108" s="74"/>
      <c r="KPE108" s="75"/>
      <c r="KPH108" s="75"/>
      <c r="KPI108" s="72"/>
      <c r="KPJ108" s="68"/>
      <c r="KPK108" s="1"/>
      <c r="KPL108" s="73"/>
      <c r="KPM108" s="74"/>
      <c r="KPO108" s="75"/>
      <c r="KPR108" s="75"/>
      <c r="KPS108" s="72"/>
      <c r="KPT108" s="68"/>
      <c r="KPU108" s="1"/>
      <c r="KPV108" s="73"/>
      <c r="KPW108" s="74"/>
      <c r="KPY108" s="75"/>
      <c r="KQB108" s="75"/>
      <c r="KQC108" s="72"/>
      <c r="KQD108" s="68"/>
      <c r="KQE108" s="1"/>
      <c r="KQF108" s="73"/>
      <c r="KQG108" s="74"/>
      <c r="KQI108" s="75"/>
      <c r="KQL108" s="75"/>
      <c r="KQM108" s="72"/>
      <c r="KQN108" s="68"/>
      <c r="KQO108" s="1"/>
      <c r="KQP108" s="73"/>
      <c r="KQQ108" s="74"/>
      <c r="KQS108" s="75"/>
      <c r="KQV108" s="75"/>
      <c r="KQW108" s="72"/>
      <c r="KQX108" s="68"/>
      <c r="KQY108" s="1"/>
      <c r="KQZ108" s="73"/>
      <c r="KRA108" s="74"/>
      <c r="KRC108" s="75"/>
      <c r="KRF108" s="75"/>
      <c r="KRG108" s="72"/>
      <c r="KRH108" s="68"/>
      <c r="KRI108" s="1"/>
      <c r="KRJ108" s="73"/>
      <c r="KRK108" s="74"/>
      <c r="KRM108" s="75"/>
      <c r="KRP108" s="75"/>
      <c r="KRQ108" s="72"/>
      <c r="KRR108" s="68"/>
      <c r="KRS108" s="1"/>
      <c r="KRT108" s="73"/>
      <c r="KRU108" s="74"/>
      <c r="KRW108" s="75"/>
      <c r="KRZ108" s="75"/>
      <c r="KSA108" s="72"/>
      <c r="KSB108" s="68"/>
      <c r="KSC108" s="1"/>
      <c r="KSD108" s="73"/>
      <c r="KSE108" s="74"/>
      <c r="KSG108" s="75"/>
      <c r="KSJ108" s="75"/>
      <c r="KSK108" s="72"/>
      <c r="KSL108" s="68"/>
      <c r="KSM108" s="1"/>
      <c r="KSN108" s="73"/>
      <c r="KSO108" s="74"/>
      <c r="KSQ108" s="75"/>
      <c r="KST108" s="75"/>
      <c r="KSU108" s="72"/>
      <c r="KSV108" s="68"/>
      <c r="KSW108" s="1"/>
      <c r="KSX108" s="73"/>
      <c r="KSY108" s="74"/>
      <c r="KTA108" s="75"/>
      <c r="KTD108" s="75"/>
      <c r="KTE108" s="72"/>
      <c r="KTF108" s="68"/>
      <c r="KTG108" s="1"/>
      <c r="KTH108" s="73"/>
      <c r="KTI108" s="74"/>
      <c r="KTK108" s="75"/>
      <c r="KTN108" s="75"/>
      <c r="KTO108" s="72"/>
      <c r="KTP108" s="68"/>
      <c r="KTQ108" s="1"/>
      <c r="KTR108" s="73"/>
      <c r="KTS108" s="74"/>
      <c r="KTU108" s="75"/>
      <c r="KTX108" s="75"/>
      <c r="KTY108" s="72"/>
      <c r="KTZ108" s="68"/>
      <c r="KUA108" s="1"/>
      <c r="KUB108" s="73"/>
      <c r="KUC108" s="74"/>
      <c r="KUE108" s="75"/>
      <c r="KUH108" s="75"/>
      <c r="KUI108" s="72"/>
      <c r="KUJ108" s="68"/>
      <c r="KUK108" s="1"/>
      <c r="KUL108" s="73"/>
      <c r="KUM108" s="74"/>
      <c r="KUO108" s="75"/>
      <c r="KUR108" s="75"/>
      <c r="KUS108" s="72"/>
      <c r="KUT108" s="68"/>
      <c r="KUU108" s="1"/>
      <c r="KUV108" s="73"/>
      <c r="KUW108" s="74"/>
      <c r="KUY108" s="75"/>
      <c r="KVB108" s="75"/>
      <c r="KVC108" s="72"/>
      <c r="KVD108" s="68"/>
      <c r="KVE108" s="1"/>
      <c r="KVF108" s="73"/>
      <c r="KVG108" s="74"/>
      <c r="KVI108" s="75"/>
      <c r="KVL108" s="75"/>
      <c r="KVM108" s="72"/>
      <c r="KVN108" s="68"/>
      <c r="KVO108" s="1"/>
      <c r="KVP108" s="73"/>
      <c r="KVQ108" s="74"/>
      <c r="KVS108" s="75"/>
      <c r="KVV108" s="75"/>
      <c r="KVW108" s="72"/>
      <c r="KVX108" s="68"/>
      <c r="KVY108" s="1"/>
      <c r="KVZ108" s="73"/>
      <c r="KWA108" s="74"/>
      <c r="KWC108" s="75"/>
      <c r="KWF108" s="75"/>
      <c r="KWG108" s="72"/>
      <c r="KWH108" s="68"/>
      <c r="KWI108" s="1"/>
      <c r="KWJ108" s="73"/>
      <c r="KWK108" s="74"/>
      <c r="KWM108" s="75"/>
      <c r="KWP108" s="75"/>
      <c r="KWQ108" s="72"/>
      <c r="KWR108" s="68"/>
      <c r="KWS108" s="1"/>
      <c r="KWT108" s="73"/>
      <c r="KWU108" s="74"/>
      <c r="KWW108" s="75"/>
      <c r="KWZ108" s="75"/>
      <c r="KXA108" s="72"/>
      <c r="KXB108" s="68"/>
      <c r="KXC108" s="1"/>
      <c r="KXD108" s="73"/>
      <c r="KXE108" s="74"/>
      <c r="KXG108" s="75"/>
      <c r="KXJ108" s="75"/>
      <c r="KXK108" s="72"/>
      <c r="KXL108" s="68"/>
      <c r="KXM108" s="1"/>
      <c r="KXN108" s="73"/>
      <c r="KXO108" s="74"/>
      <c r="KXQ108" s="75"/>
      <c r="KXT108" s="75"/>
      <c r="KXU108" s="72"/>
      <c r="KXV108" s="68"/>
      <c r="KXW108" s="1"/>
      <c r="KXX108" s="73"/>
      <c r="KXY108" s="74"/>
      <c r="KYA108" s="75"/>
      <c r="KYD108" s="75"/>
      <c r="KYE108" s="72"/>
      <c r="KYF108" s="68"/>
      <c r="KYG108" s="1"/>
      <c r="KYH108" s="73"/>
      <c r="KYI108" s="74"/>
      <c r="KYK108" s="75"/>
      <c r="KYN108" s="75"/>
      <c r="KYO108" s="72"/>
      <c r="KYP108" s="68"/>
      <c r="KYQ108" s="1"/>
      <c r="KYR108" s="73"/>
      <c r="KYS108" s="74"/>
      <c r="KYU108" s="75"/>
      <c r="KYX108" s="75"/>
      <c r="KYY108" s="72"/>
      <c r="KYZ108" s="68"/>
      <c r="KZA108" s="1"/>
      <c r="KZB108" s="73"/>
      <c r="KZC108" s="74"/>
      <c r="KZE108" s="75"/>
      <c r="KZH108" s="75"/>
      <c r="KZI108" s="72"/>
      <c r="KZJ108" s="68"/>
      <c r="KZK108" s="1"/>
      <c r="KZL108" s="73"/>
      <c r="KZM108" s="74"/>
      <c r="KZO108" s="75"/>
      <c r="KZR108" s="75"/>
      <c r="KZS108" s="72"/>
      <c r="KZT108" s="68"/>
      <c r="KZU108" s="1"/>
      <c r="KZV108" s="73"/>
      <c r="KZW108" s="74"/>
      <c r="KZY108" s="75"/>
      <c r="LAB108" s="75"/>
      <c r="LAC108" s="72"/>
      <c r="LAD108" s="68"/>
      <c r="LAE108" s="1"/>
      <c r="LAF108" s="73"/>
      <c r="LAG108" s="74"/>
      <c r="LAI108" s="75"/>
      <c r="LAL108" s="75"/>
      <c r="LAM108" s="72"/>
      <c r="LAN108" s="68"/>
      <c r="LAO108" s="1"/>
      <c r="LAP108" s="73"/>
      <c r="LAQ108" s="74"/>
      <c r="LAS108" s="75"/>
      <c r="LAV108" s="75"/>
      <c r="LAW108" s="72"/>
      <c r="LAX108" s="68"/>
      <c r="LAY108" s="1"/>
      <c r="LAZ108" s="73"/>
      <c r="LBA108" s="74"/>
      <c r="LBC108" s="75"/>
      <c r="LBF108" s="75"/>
      <c r="LBG108" s="72"/>
      <c r="LBH108" s="68"/>
      <c r="LBI108" s="1"/>
      <c r="LBJ108" s="73"/>
      <c r="LBK108" s="74"/>
      <c r="LBM108" s="75"/>
      <c r="LBP108" s="75"/>
      <c r="LBQ108" s="72"/>
      <c r="LBR108" s="68"/>
      <c r="LBS108" s="1"/>
      <c r="LBT108" s="73"/>
      <c r="LBU108" s="74"/>
      <c r="LBW108" s="75"/>
      <c r="LBZ108" s="75"/>
      <c r="LCA108" s="72"/>
      <c r="LCB108" s="68"/>
      <c r="LCC108" s="1"/>
      <c r="LCD108" s="73"/>
      <c r="LCE108" s="74"/>
      <c r="LCG108" s="75"/>
      <c r="LCJ108" s="75"/>
      <c r="LCK108" s="72"/>
      <c r="LCL108" s="68"/>
      <c r="LCM108" s="1"/>
      <c r="LCN108" s="73"/>
      <c r="LCO108" s="74"/>
      <c r="LCQ108" s="75"/>
      <c r="LCT108" s="75"/>
      <c r="LCU108" s="72"/>
      <c r="LCV108" s="68"/>
      <c r="LCW108" s="1"/>
      <c r="LCX108" s="73"/>
      <c r="LCY108" s="74"/>
      <c r="LDA108" s="75"/>
      <c r="LDD108" s="75"/>
      <c r="LDE108" s="72"/>
      <c r="LDF108" s="68"/>
      <c r="LDG108" s="1"/>
      <c r="LDH108" s="73"/>
      <c r="LDI108" s="74"/>
      <c r="LDK108" s="75"/>
      <c r="LDN108" s="75"/>
      <c r="LDO108" s="72"/>
      <c r="LDP108" s="68"/>
      <c r="LDQ108" s="1"/>
      <c r="LDR108" s="73"/>
      <c r="LDS108" s="74"/>
      <c r="LDU108" s="75"/>
      <c r="LDX108" s="75"/>
      <c r="LDY108" s="72"/>
      <c r="LDZ108" s="68"/>
      <c r="LEA108" s="1"/>
      <c r="LEB108" s="73"/>
      <c r="LEC108" s="74"/>
      <c r="LEE108" s="75"/>
      <c r="LEH108" s="75"/>
      <c r="LEI108" s="72"/>
      <c r="LEJ108" s="68"/>
      <c r="LEK108" s="1"/>
      <c r="LEL108" s="73"/>
      <c r="LEM108" s="74"/>
      <c r="LEO108" s="75"/>
      <c r="LER108" s="75"/>
      <c r="LES108" s="72"/>
      <c r="LET108" s="68"/>
      <c r="LEU108" s="1"/>
      <c r="LEV108" s="73"/>
      <c r="LEW108" s="74"/>
      <c r="LEY108" s="75"/>
      <c r="LFB108" s="75"/>
      <c r="LFC108" s="72"/>
      <c r="LFD108" s="68"/>
      <c r="LFE108" s="1"/>
      <c r="LFF108" s="73"/>
      <c r="LFG108" s="74"/>
      <c r="LFI108" s="75"/>
      <c r="LFL108" s="75"/>
      <c r="LFM108" s="72"/>
      <c r="LFN108" s="68"/>
      <c r="LFO108" s="1"/>
      <c r="LFP108" s="73"/>
      <c r="LFQ108" s="74"/>
      <c r="LFS108" s="75"/>
      <c r="LFV108" s="75"/>
      <c r="LFW108" s="72"/>
      <c r="LFX108" s="68"/>
      <c r="LFY108" s="1"/>
      <c r="LFZ108" s="73"/>
      <c r="LGA108" s="74"/>
      <c r="LGC108" s="75"/>
      <c r="LGF108" s="75"/>
      <c r="LGG108" s="72"/>
      <c r="LGH108" s="68"/>
      <c r="LGI108" s="1"/>
      <c r="LGJ108" s="73"/>
      <c r="LGK108" s="74"/>
      <c r="LGM108" s="75"/>
      <c r="LGP108" s="75"/>
      <c r="LGQ108" s="72"/>
      <c r="LGR108" s="68"/>
      <c r="LGS108" s="1"/>
      <c r="LGT108" s="73"/>
      <c r="LGU108" s="74"/>
      <c r="LGW108" s="75"/>
      <c r="LGZ108" s="75"/>
      <c r="LHA108" s="72"/>
      <c r="LHB108" s="68"/>
      <c r="LHC108" s="1"/>
      <c r="LHD108" s="73"/>
      <c r="LHE108" s="74"/>
      <c r="LHG108" s="75"/>
      <c r="LHJ108" s="75"/>
      <c r="LHK108" s="72"/>
      <c r="LHL108" s="68"/>
      <c r="LHM108" s="1"/>
      <c r="LHN108" s="73"/>
      <c r="LHO108" s="74"/>
      <c r="LHQ108" s="75"/>
      <c r="LHT108" s="75"/>
      <c r="LHU108" s="72"/>
      <c r="LHV108" s="68"/>
      <c r="LHW108" s="1"/>
      <c r="LHX108" s="73"/>
      <c r="LHY108" s="74"/>
      <c r="LIA108" s="75"/>
      <c r="LID108" s="75"/>
      <c r="LIE108" s="72"/>
      <c r="LIF108" s="68"/>
      <c r="LIG108" s="1"/>
      <c r="LIH108" s="73"/>
      <c r="LII108" s="74"/>
      <c r="LIK108" s="75"/>
      <c r="LIN108" s="75"/>
      <c r="LIO108" s="72"/>
      <c r="LIP108" s="68"/>
      <c r="LIQ108" s="1"/>
      <c r="LIR108" s="73"/>
      <c r="LIS108" s="74"/>
      <c r="LIU108" s="75"/>
      <c r="LIX108" s="75"/>
      <c r="LIY108" s="72"/>
      <c r="LIZ108" s="68"/>
      <c r="LJA108" s="1"/>
      <c r="LJB108" s="73"/>
      <c r="LJC108" s="74"/>
      <c r="LJE108" s="75"/>
      <c r="LJH108" s="75"/>
      <c r="LJI108" s="72"/>
      <c r="LJJ108" s="68"/>
      <c r="LJK108" s="1"/>
      <c r="LJL108" s="73"/>
      <c r="LJM108" s="74"/>
      <c r="LJO108" s="75"/>
      <c r="LJR108" s="75"/>
      <c r="LJS108" s="72"/>
      <c r="LJT108" s="68"/>
      <c r="LJU108" s="1"/>
      <c r="LJV108" s="73"/>
      <c r="LJW108" s="74"/>
      <c r="LJY108" s="75"/>
      <c r="LKB108" s="75"/>
      <c r="LKC108" s="72"/>
      <c r="LKD108" s="68"/>
      <c r="LKE108" s="1"/>
      <c r="LKF108" s="73"/>
      <c r="LKG108" s="74"/>
      <c r="LKI108" s="75"/>
      <c r="LKL108" s="75"/>
      <c r="LKM108" s="72"/>
      <c r="LKN108" s="68"/>
      <c r="LKO108" s="1"/>
      <c r="LKP108" s="73"/>
      <c r="LKQ108" s="74"/>
      <c r="LKS108" s="75"/>
      <c r="LKV108" s="75"/>
      <c r="LKW108" s="72"/>
      <c r="LKX108" s="68"/>
      <c r="LKY108" s="1"/>
      <c r="LKZ108" s="73"/>
      <c r="LLA108" s="74"/>
      <c r="LLC108" s="75"/>
      <c r="LLF108" s="75"/>
      <c r="LLG108" s="72"/>
      <c r="LLH108" s="68"/>
      <c r="LLI108" s="1"/>
      <c r="LLJ108" s="73"/>
      <c r="LLK108" s="74"/>
      <c r="LLM108" s="75"/>
      <c r="LLP108" s="75"/>
      <c r="LLQ108" s="72"/>
      <c r="LLR108" s="68"/>
      <c r="LLS108" s="1"/>
      <c r="LLT108" s="73"/>
      <c r="LLU108" s="74"/>
      <c r="LLW108" s="75"/>
      <c r="LLZ108" s="75"/>
      <c r="LMA108" s="72"/>
      <c r="LMB108" s="68"/>
      <c r="LMC108" s="1"/>
      <c r="LMD108" s="73"/>
      <c r="LME108" s="74"/>
      <c r="LMG108" s="75"/>
      <c r="LMJ108" s="75"/>
      <c r="LMK108" s="72"/>
      <c r="LML108" s="68"/>
      <c r="LMM108" s="1"/>
      <c r="LMN108" s="73"/>
      <c r="LMO108" s="74"/>
      <c r="LMQ108" s="75"/>
      <c r="LMT108" s="75"/>
      <c r="LMU108" s="72"/>
      <c r="LMV108" s="68"/>
      <c r="LMW108" s="1"/>
      <c r="LMX108" s="73"/>
      <c r="LMY108" s="74"/>
      <c r="LNA108" s="75"/>
      <c r="LND108" s="75"/>
      <c r="LNE108" s="72"/>
      <c r="LNF108" s="68"/>
      <c r="LNG108" s="1"/>
      <c r="LNH108" s="73"/>
      <c r="LNI108" s="74"/>
      <c r="LNK108" s="75"/>
      <c r="LNN108" s="75"/>
      <c r="LNO108" s="72"/>
      <c r="LNP108" s="68"/>
      <c r="LNQ108" s="1"/>
      <c r="LNR108" s="73"/>
      <c r="LNS108" s="74"/>
      <c r="LNU108" s="75"/>
      <c r="LNX108" s="75"/>
      <c r="LNY108" s="72"/>
      <c r="LNZ108" s="68"/>
      <c r="LOA108" s="1"/>
      <c r="LOB108" s="73"/>
      <c r="LOC108" s="74"/>
      <c r="LOE108" s="75"/>
      <c r="LOH108" s="75"/>
      <c r="LOI108" s="72"/>
      <c r="LOJ108" s="68"/>
      <c r="LOK108" s="1"/>
      <c r="LOL108" s="73"/>
      <c r="LOM108" s="74"/>
      <c r="LOO108" s="75"/>
      <c r="LOR108" s="75"/>
      <c r="LOS108" s="72"/>
      <c r="LOT108" s="68"/>
      <c r="LOU108" s="1"/>
      <c r="LOV108" s="73"/>
      <c r="LOW108" s="74"/>
      <c r="LOY108" s="75"/>
      <c r="LPB108" s="75"/>
      <c r="LPC108" s="72"/>
      <c r="LPD108" s="68"/>
      <c r="LPE108" s="1"/>
      <c r="LPF108" s="73"/>
      <c r="LPG108" s="74"/>
      <c r="LPI108" s="75"/>
      <c r="LPL108" s="75"/>
      <c r="LPM108" s="72"/>
      <c r="LPN108" s="68"/>
      <c r="LPO108" s="1"/>
      <c r="LPP108" s="73"/>
      <c r="LPQ108" s="74"/>
      <c r="LPS108" s="75"/>
      <c r="LPV108" s="75"/>
      <c r="LPW108" s="72"/>
      <c r="LPX108" s="68"/>
      <c r="LPY108" s="1"/>
      <c r="LPZ108" s="73"/>
      <c r="LQA108" s="74"/>
      <c r="LQC108" s="75"/>
      <c r="LQF108" s="75"/>
      <c r="LQG108" s="72"/>
      <c r="LQH108" s="68"/>
      <c r="LQI108" s="1"/>
      <c r="LQJ108" s="73"/>
      <c r="LQK108" s="74"/>
      <c r="LQM108" s="75"/>
      <c r="LQP108" s="75"/>
      <c r="LQQ108" s="72"/>
      <c r="LQR108" s="68"/>
      <c r="LQS108" s="1"/>
      <c r="LQT108" s="73"/>
      <c r="LQU108" s="74"/>
      <c r="LQW108" s="75"/>
      <c r="LQZ108" s="75"/>
      <c r="LRA108" s="72"/>
      <c r="LRB108" s="68"/>
      <c r="LRC108" s="1"/>
      <c r="LRD108" s="73"/>
      <c r="LRE108" s="74"/>
      <c r="LRG108" s="75"/>
      <c r="LRJ108" s="75"/>
      <c r="LRK108" s="72"/>
      <c r="LRL108" s="68"/>
      <c r="LRM108" s="1"/>
      <c r="LRN108" s="73"/>
      <c r="LRO108" s="74"/>
      <c r="LRQ108" s="75"/>
      <c r="LRT108" s="75"/>
      <c r="LRU108" s="72"/>
      <c r="LRV108" s="68"/>
      <c r="LRW108" s="1"/>
      <c r="LRX108" s="73"/>
      <c r="LRY108" s="74"/>
      <c r="LSA108" s="75"/>
      <c r="LSD108" s="75"/>
      <c r="LSE108" s="72"/>
      <c r="LSF108" s="68"/>
      <c r="LSG108" s="1"/>
      <c r="LSH108" s="73"/>
      <c r="LSI108" s="74"/>
      <c r="LSK108" s="75"/>
      <c r="LSN108" s="75"/>
      <c r="LSO108" s="72"/>
      <c r="LSP108" s="68"/>
      <c r="LSQ108" s="1"/>
      <c r="LSR108" s="73"/>
      <c r="LSS108" s="74"/>
      <c r="LSU108" s="75"/>
      <c r="LSX108" s="75"/>
      <c r="LSY108" s="72"/>
      <c r="LSZ108" s="68"/>
      <c r="LTA108" s="1"/>
      <c r="LTB108" s="73"/>
      <c r="LTC108" s="74"/>
      <c r="LTE108" s="75"/>
      <c r="LTH108" s="75"/>
      <c r="LTI108" s="72"/>
      <c r="LTJ108" s="68"/>
      <c r="LTK108" s="1"/>
      <c r="LTL108" s="73"/>
      <c r="LTM108" s="74"/>
      <c r="LTO108" s="75"/>
      <c r="LTR108" s="75"/>
      <c r="LTS108" s="72"/>
      <c r="LTT108" s="68"/>
      <c r="LTU108" s="1"/>
      <c r="LTV108" s="73"/>
      <c r="LTW108" s="74"/>
      <c r="LTY108" s="75"/>
      <c r="LUB108" s="75"/>
      <c r="LUC108" s="72"/>
      <c r="LUD108" s="68"/>
      <c r="LUE108" s="1"/>
      <c r="LUF108" s="73"/>
      <c r="LUG108" s="74"/>
      <c r="LUI108" s="75"/>
      <c r="LUL108" s="75"/>
      <c r="LUM108" s="72"/>
      <c r="LUN108" s="68"/>
      <c r="LUO108" s="1"/>
      <c r="LUP108" s="73"/>
      <c r="LUQ108" s="74"/>
      <c r="LUS108" s="75"/>
      <c r="LUV108" s="75"/>
      <c r="LUW108" s="72"/>
      <c r="LUX108" s="68"/>
      <c r="LUY108" s="1"/>
      <c r="LUZ108" s="73"/>
      <c r="LVA108" s="74"/>
      <c r="LVC108" s="75"/>
      <c r="LVF108" s="75"/>
      <c r="LVG108" s="72"/>
      <c r="LVH108" s="68"/>
      <c r="LVI108" s="1"/>
      <c r="LVJ108" s="73"/>
      <c r="LVK108" s="74"/>
      <c r="LVM108" s="75"/>
      <c r="LVP108" s="75"/>
      <c r="LVQ108" s="72"/>
      <c r="LVR108" s="68"/>
      <c r="LVS108" s="1"/>
      <c r="LVT108" s="73"/>
      <c r="LVU108" s="74"/>
      <c r="LVW108" s="75"/>
      <c r="LVZ108" s="75"/>
      <c r="LWA108" s="72"/>
      <c r="LWB108" s="68"/>
      <c r="LWC108" s="1"/>
      <c r="LWD108" s="73"/>
      <c r="LWE108" s="74"/>
      <c r="LWG108" s="75"/>
      <c r="LWJ108" s="75"/>
      <c r="LWK108" s="72"/>
      <c r="LWL108" s="68"/>
      <c r="LWM108" s="1"/>
      <c r="LWN108" s="73"/>
      <c r="LWO108" s="74"/>
      <c r="LWQ108" s="75"/>
      <c r="LWT108" s="75"/>
      <c r="LWU108" s="72"/>
      <c r="LWV108" s="68"/>
      <c r="LWW108" s="1"/>
      <c r="LWX108" s="73"/>
      <c r="LWY108" s="74"/>
      <c r="LXA108" s="75"/>
      <c r="LXD108" s="75"/>
      <c r="LXE108" s="72"/>
      <c r="LXF108" s="68"/>
      <c r="LXG108" s="1"/>
      <c r="LXH108" s="73"/>
      <c r="LXI108" s="74"/>
      <c r="LXK108" s="75"/>
      <c r="LXN108" s="75"/>
      <c r="LXO108" s="72"/>
      <c r="LXP108" s="68"/>
      <c r="LXQ108" s="1"/>
      <c r="LXR108" s="73"/>
      <c r="LXS108" s="74"/>
      <c r="LXU108" s="75"/>
      <c r="LXX108" s="75"/>
      <c r="LXY108" s="72"/>
      <c r="LXZ108" s="68"/>
      <c r="LYA108" s="1"/>
      <c r="LYB108" s="73"/>
      <c r="LYC108" s="74"/>
      <c r="LYE108" s="75"/>
      <c r="LYH108" s="75"/>
      <c r="LYI108" s="72"/>
      <c r="LYJ108" s="68"/>
      <c r="LYK108" s="1"/>
      <c r="LYL108" s="73"/>
      <c r="LYM108" s="74"/>
      <c r="LYO108" s="75"/>
      <c r="LYR108" s="75"/>
      <c r="LYS108" s="72"/>
      <c r="LYT108" s="68"/>
      <c r="LYU108" s="1"/>
      <c r="LYV108" s="73"/>
      <c r="LYW108" s="74"/>
      <c r="LYY108" s="75"/>
      <c r="LZB108" s="75"/>
      <c r="LZC108" s="72"/>
      <c r="LZD108" s="68"/>
      <c r="LZE108" s="1"/>
      <c r="LZF108" s="73"/>
      <c r="LZG108" s="74"/>
      <c r="LZI108" s="75"/>
      <c r="LZL108" s="75"/>
      <c r="LZM108" s="72"/>
      <c r="LZN108" s="68"/>
      <c r="LZO108" s="1"/>
      <c r="LZP108" s="73"/>
      <c r="LZQ108" s="74"/>
      <c r="LZS108" s="75"/>
      <c r="LZV108" s="75"/>
      <c r="LZW108" s="72"/>
      <c r="LZX108" s="68"/>
      <c r="LZY108" s="1"/>
      <c r="LZZ108" s="73"/>
      <c r="MAA108" s="74"/>
      <c r="MAC108" s="75"/>
      <c r="MAF108" s="75"/>
      <c r="MAG108" s="72"/>
      <c r="MAH108" s="68"/>
      <c r="MAI108" s="1"/>
      <c r="MAJ108" s="73"/>
      <c r="MAK108" s="74"/>
      <c r="MAM108" s="75"/>
      <c r="MAP108" s="75"/>
      <c r="MAQ108" s="72"/>
      <c r="MAR108" s="68"/>
      <c r="MAS108" s="1"/>
      <c r="MAT108" s="73"/>
      <c r="MAU108" s="74"/>
      <c r="MAW108" s="75"/>
      <c r="MAZ108" s="75"/>
      <c r="MBA108" s="72"/>
      <c r="MBB108" s="68"/>
      <c r="MBC108" s="1"/>
      <c r="MBD108" s="73"/>
      <c r="MBE108" s="74"/>
      <c r="MBG108" s="75"/>
      <c r="MBJ108" s="75"/>
      <c r="MBK108" s="72"/>
      <c r="MBL108" s="68"/>
      <c r="MBM108" s="1"/>
      <c r="MBN108" s="73"/>
      <c r="MBO108" s="74"/>
      <c r="MBQ108" s="75"/>
      <c r="MBT108" s="75"/>
      <c r="MBU108" s="72"/>
      <c r="MBV108" s="68"/>
      <c r="MBW108" s="1"/>
      <c r="MBX108" s="73"/>
      <c r="MBY108" s="74"/>
      <c r="MCA108" s="75"/>
      <c r="MCD108" s="75"/>
      <c r="MCE108" s="72"/>
      <c r="MCF108" s="68"/>
      <c r="MCG108" s="1"/>
      <c r="MCH108" s="73"/>
      <c r="MCI108" s="74"/>
      <c r="MCK108" s="75"/>
      <c r="MCN108" s="75"/>
      <c r="MCO108" s="72"/>
      <c r="MCP108" s="68"/>
      <c r="MCQ108" s="1"/>
      <c r="MCR108" s="73"/>
      <c r="MCS108" s="74"/>
      <c r="MCU108" s="75"/>
      <c r="MCX108" s="75"/>
      <c r="MCY108" s="72"/>
      <c r="MCZ108" s="68"/>
      <c r="MDA108" s="1"/>
      <c r="MDB108" s="73"/>
      <c r="MDC108" s="74"/>
      <c r="MDE108" s="75"/>
      <c r="MDH108" s="75"/>
      <c r="MDI108" s="72"/>
      <c r="MDJ108" s="68"/>
      <c r="MDK108" s="1"/>
      <c r="MDL108" s="73"/>
      <c r="MDM108" s="74"/>
      <c r="MDO108" s="75"/>
      <c r="MDR108" s="75"/>
      <c r="MDS108" s="72"/>
      <c r="MDT108" s="68"/>
      <c r="MDU108" s="1"/>
      <c r="MDV108" s="73"/>
      <c r="MDW108" s="74"/>
      <c r="MDY108" s="75"/>
      <c r="MEB108" s="75"/>
      <c r="MEC108" s="72"/>
      <c r="MED108" s="68"/>
      <c r="MEE108" s="1"/>
      <c r="MEF108" s="73"/>
      <c r="MEG108" s="74"/>
      <c r="MEI108" s="75"/>
      <c r="MEL108" s="75"/>
      <c r="MEM108" s="72"/>
      <c r="MEN108" s="68"/>
      <c r="MEO108" s="1"/>
      <c r="MEP108" s="73"/>
      <c r="MEQ108" s="74"/>
      <c r="MES108" s="75"/>
      <c r="MEV108" s="75"/>
      <c r="MEW108" s="72"/>
      <c r="MEX108" s="68"/>
      <c r="MEY108" s="1"/>
      <c r="MEZ108" s="73"/>
      <c r="MFA108" s="74"/>
      <c r="MFC108" s="75"/>
      <c r="MFF108" s="75"/>
      <c r="MFG108" s="72"/>
      <c r="MFH108" s="68"/>
      <c r="MFI108" s="1"/>
      <c r="MFJ108" s="73"/>
      <c r="MFK108" s="74"/>
      <c r="MFM108" s="75"/>
      <c r="MFP108" s="75"/>
      <c r="MFQ108" s="72"/>
      <c r="MFR108" s="68"/>
      <c r="MFS108" s="1"/>
      <c r="MFT108" s="73"/>
      <c r="MFU108" s="74"/>
      <c r="MFW108" s="75"/>
      <c r="MFZ108" s="75"/>
      <c r="MGA108" s="72"/>
      <c r="MGB108" s="68"/>
      <c r="MGC108" s="1"/>
      <c r="MGD108" s="73"/>
      <c r="MGE108" s="74"/>
      <c r="MGG108" s="75"/>
      <c r="MGJ108" s="75"/>
      <c r="MGK108" s="72"/>
      <c r="MGL108" s="68"/>
      <c r="MGM108" s="1"/>
      <c r="MGN108" s="73"/>
      <c r="MGO108" s="74"/>
      <c r="MGQ108" s="75"/>
      <c r="MGT108" s="75"/>
      <c r="MGU108" s="72"/>
      <c r="MGV108" s="68"/>
      <c r="MGW108" s="1"/>
      <c r="MGX108" s="73"/>
      <c r="MGY108" s="74"/>
      <c r="MHA108" s="75"/>
      <c r="MHD108" s="75"/>
      <c r="MHE108" s="72"/>
      <c r="MHF108" s="68"/>
      <c r="MHG108" s="1"/>
      <c r="MHH108" s="73"/>
      <c r="MHI108" s="74"/>
      <c r="MHK108" s="75"/>
      <c r="MHN108" s="75"/>
      <c r="MHO108" s="72"/>
      <c r="MHP108" s="68"/>
      <c r="MHQ108" s="1"/>
      <c r="MHR108" s="73"/>
      <c r="MHS108" s="74"/>
      <c r="MHU108" s="75"/>
      <c r="MHX108" s="75"/>
      <c r="MHY108" s="72"/>
      <c r="MHZ108" s="68"/>
      <c r="MIA108" s="1"/>
      <c r="MIB108" s="73"/>
      <c r="MIC108" s="74"/>
      <c r="MIE108" s="75"/>
      <c r="MIH108" s="75"/>
      <c r="MII108" s="72"/>
      <c r="MIJ108" s="68"/>
      <c r="MIK108" s="1"/>
      <c r="MIL108" s="73"/>
      <c r="MIM108" s="74"/>
      <c r="MIO108" s="75"/>
      <c r="MIR108" s="75"/>
      <c r="MIS108" s="72"/>
      <c r="MIT108" s="68"/>
      <c r="MIU108" s="1"/>
      <c r="MIV108" s="73"/>
      <c r="MIW108" s="74"/>
      <c r="MIY108" s="75"/>
      <c r="MJB108" s="75"/>
      <c r="MJC108" s="72"/>
      <c r="MJD108" s="68"/>
      <c r="MJE108" s="1"/>
      <c r="MJF108" s="73"/>
      <c r="MJG108" s="74"/>
      <c r="MJI108" s="75"/>
      <c r="MJL108" s="75"/>
      <c r="MJM108" s="72"/>
      <c r="MJN108" s="68"/>
      <c r="MJO108" s="1"/>
      <c r="MJP108" s="73"/>
      <c r="MJQ108" s="74"/>
      <c r="MJS108" s="75"/>
      <c r="MJV108" s="75"/>
      <c r="MJW108" s="72"/>
      <c r="MJX108" s="68"/>
      <c r="MJY108" s="1"/>
      <c r="MJZ108" s="73"/>
      <c r="MKA108" s="74"/>
      <c r="MKC108" s="75"/>
      <c r="MKF108" s="75"/>
      <c r="MKG108" s="72"/>
      <c r="MKH108" s="68"/>
      <c r="MKI108" s="1"/>
      <c r="MKJ108" s="73"/>
      <c r="MKK108" s="74"/>
      <c r="MKM108" s="75"/>
      <c r="MKP108" s="75"/>
      <c r="MKQ108" s="72"/>
      <c r="MKR108" s="68"/>
      <c r="MKS108" s="1"/>
      <c r="MKT108" s="73"/>
      <c r="MKU108" s="74"/>
      <c r="MKW108" s="75"/>
      <c r="MKZ108" s="75"/>
      <c r="MLA108" s="72"/>
      <c r="MLB108" s="68"/>
      <c r="MLC108" s="1"/>
      <c r="MLD108" s="73"/>
      <c r="MLE108" s="74"/>
      <c r="MLG108" s="75"/>
      <c r="MLJ108" s="75"/>
      <c r="MLK108" s="72"/>
      <c r="MLL108" s="68"/>
      <c r="MLM108" s="1"/>
      <c r="MLN108" s="73"/>
      <c r="MLO108" s="74"/>
      <c r="MLQ108" s="75"/>
      <c r="MLT108" s="75"/>
      <c r="MLU108" s="72"/>
      <c r="MLV108" s="68"/>
      <c r="MLW108" s="1"/>
      <c r="MLX108" s="73"/>
      <c r="MLY108" s="74"/>
      <c r="MMA108" s="75"/>
      <c r="MMD108" s="75"/>
      <c r="MME108" s="72"/>
      <c r="MMF108" s="68"/>
      <c r="MMG108" s="1"/>
      <c r="MMH108" s="73"/>
      <c r="MMI108" s="74"/>
      <c r="MMK108" s="75"/>
      <c r="MMN108" s="75"/>
      <c r="MMO108" s="72"/>
      <c r="MMP108" s="68"/>
      <c r="MMQ108" s="1"/>
      <c r="MMR108" s="73"/>
      <c r="MMS108" s="74"/>
      <c r="MMU108" s="75"/>
      <c r="MMX108" s="75"/>
      <c r="MMY108" s="72"/>
      <c r="MMZ108" s="68"/>
      <c r="MNA108" s="1"/>
      <c r="MNB108" s="73"/>
      <c r="MNC108" s="74"/>
      <c r="MNE108" s="75"/>
      <c r="MNH108" s="75"/>
      <c r="MNI108" s="72"/>
      <c r="MNJ108" s="68"/>
      <c r="MNK108" s="1"/>
      <c r="MNL108" s="73"/>
      <c r="MNM108" s="74"/>
      <c r="MNO108" s="75"/>
      <c r="MNR108" s="75"/>
      <c r="MNS108" s="72"/>
      <c r="MNT108" s="68"/>
      <c r="MNU108" s="1"/>
      <c r="MNV108" s="73"/>
      <c r="MNW108" s="74"/>
      <c r="MNY108" s="75"/>
      <c r="MOB108" s="75"/>
      <c r="MOC108" s="72"/>
      <c r="MOD108" s="68"/>
      <c r="MOE108" s="1"/>
      <c r="MOF108" s="73"/>
      <c r="MOG108" s="74"/>
      <c r="MOI108" s="75"/>
      <c r="MOL108" s="75"/>
      <c r="MOM108" s="72"/>
      <c r="MON108" s="68"/>
      <c r="MOO108" s="1"/>
      <c r="MOP108" s="73"/>
      <c r="MOQ108" s="74"/>
      <c r="MOS108" s="75"/>
      <c r="MOV108" s="75"/>
      <c r="MOW108" s="72"/>
      <c r="MOX108" s="68"/>
      <c r="MOY108" s="1"/>
      <c r="MOZ108" s="73"/>
      <c r="MPA108" s="74"/>
      <c r="MPC108" s="75"/>
      <c r="MPF108" s="75"/>
      <c r="MPG108" s="72"/>
      <c r="MPH108" s="68"/>
      <c r="MPI108" s="1"/>
      <c r="MPJ108" s="73"/>
      <c r="MPK108" s="74"/>
      <c r="MPM108" s="75"/>
      <c r="MPP108" s="75"/>
      <c r="MPQ108" s="72"/>
      <c r="MPR108" s="68"/>
      <c r="MPS108" s="1"/>
      <c r="MPT108" s="73"/>
      <c r="MPU108" s="74"/>
      <c r="MPW108" s="75"/>
      <c r="MPZ108" s="75"/>
      <c r="MQA108" s="72"/>
      <c r="MQB108" s="68"/>
      <c r="MQC108" s="1"/>
      <c r="MQD108" s="73"/>
      <c r="MQE108" s="74"/>
      <c r="MQG108" s="75"/>
      <c r="MQJ108" s="75"/>
      <c r="MQK108" s="72"/>
      <c r="MQL108" s="68"/>
      <c r="MQM108" s="1"/>
      <c r="MQN108" s="73"/>
      <c r="MQO108" s="74"/>
      <c r="MQQ108" s="75"/>
      <c r="MQT108" s="75"/>
      <c r="MQU108" s="72"/>
      <c r="MQV108" s="68"/>
      <c r="MQW108" s="1"/>
      <c r="MQX108" s="73"/>
      <c r="MQY108" s="74"/>
      <c r="MRA108" s="75"/>
      <c r="MRD108" s="75"/>
      <c r="MRE108" s="72"/>
      <c r="MRF108" s="68"/>
      <c r="MRG108" s="1"/>
      <c r="MRH108" s="73"/>
      <c r="MRI108" s="74"/>
      <c r="MRK108" s="75"/>
      <c r="MRN108" s="75"/>
      <c r="MRO108" s="72"/>
      <c r="MRP108" s="68"/>
      <c r="MRQ108" s="1"/>
      <c r="MRR108" s="73"/>
      <c r="MRS108" s="74"/>
      <c r="MRU108" s="75"/>
      <c r="MRX108" s="75"/>
      <c r="MRY108" s="72"/>
      <c r="MRZ108" s="68"/>
      <c r="MSA108" s="1"/>
      <c r="MSB108" s="73"/>
      <c r="MSC108" s="74"/>
      <c r="MSE108" s="75"/>
      <c r="MSH108" s="75"/>
      <c r="MSI108" s="72"/>
      <c r="MSJ108" s="68"/>
      <c r="MSK108" s="1"/>
      <c r="MSL108" s="73"/>
      <c r="MSM108" s="74"/>
      <c r="MSO108" s="75"/>
      <c r="MSR108" s="75"/>
      <c r="MSS108" s="72"/>
      <c r="MST108" s="68"/>
      <c r="MSU108" s="1"/>
      <c r="MSV108" s="73"/>
      <c r="MSW108" s="74"/>
      <c r="MSY108" s="75"/>
      <c r="MTB108" s="75"/>
      <c r="MTC108" s="72"/>
      <c r="MTD108" s="68"/>
      <c r="MTE108" s="1"/>
      <c r="MTF108" s="73"/>
      <c r="MTG108" s="74"/>
      <c r="MTI108" s="75"/>
      <c r="MTL108" s="75"/>
      <c r="MTM108" s="72"/>
      <c r="MTN108" s="68"/>
      <c r="MTO108" s="1"/>
      <c r="MTP108" s="73"/>
      <c r="MTQ108" s="74"/>
      <c r="MTS108" s="75"/>
      <c r="MTV108" s="75"/>
      <c r="MTW108" s="72"/>
      <c r="MTX108" s="68"/>
      <c r="MTY108" s="1"/>
      <c r="MTZ108" s="73"/>
      <c r="MUA108" s="74"/>
      <c r="MUC108" s="75"/>
      <c r="MUF108" s="75"/>
      <c r="MUG108" s="72"/>
      <c r="MUH108" s="68"/>
      <c r="MUI108" s="1"/>
      <c r="MUJ108" s="73"/>
      <c r="MUK108" s="74"/>
      <c r="MUM108" s="75"/>
      <c r="MUP108" s="75"/>
      <c r="MUQ108" s="72"/>
      <c r="MUR108" s="68"/>
      <c r="MUS108" s="1"/>
      <c r="MUT108" s="73"/>
      <c r="MUU108" s="74"/>
      <c r="MUW108" s="75"/>
      <c r="MUZ108" s="75"/>
      <c r="MVA108" s="72"/>
      <c r="MVB108" s="68"/>
      <c r="MVC108" s="1"/>
      <c r="MVD108" s="73"/>
      <c r="MVE108" s="74"/>
      <c r="MVG108" s="75"/>
      <c r="MVJ108" s="75"/>
      <c r="MVK108" s="72"/>
      <c r="MVL108" s="68"/>
      <c r="MVM108" s="1"/>
      <c r="MVN108" s="73"/>
      <c r="MVO108" s="74"/>
      <c r="MVQ108" s="75"/>
      <c r="MVT108" s="75"/>
      <c r="MVU108" s="72"/>
      <c r="MVV108" s="68"/>
      <c r="MVW108" s="1"/>
      <c r="MVX108" s="73"/>
      <c r="MVY108" s="74"/>
      <c r="MWA108" s="75"/>
      <c r="MWD108" s="75"/>
      <c r="MWE108" s="72"/>
      <c r="MWF108" s="68"/>
      <c r="MWG108" s="1"/>
      <c r="MWH108" s="73"/>
      <c r="MWI108" s="74"/>
      <c r="MWK108" s="75"/>
      <c r="MWN108" s="75"/>
      <c r="MWO108" s="72"/>
      <c r="MWP108" s="68"/>
      <c r="MWQ108" s="1"/>
      <c r="MWR108" s="73"/>
      <c r="MWS108" s="74"/>
      <c r="MWU108" s="75"/>
      <c r="MWX108" s="75"/>
      <c r="MWY108" s="72"/>
      <c r="MWZ108" s="68"/>
      <c r="MXA108" s="1"/>
      <c r="MXB108" s="73"/>
      <c r="MXC108" s="74"/>
      <c r="MXE108" s="75"/>
      <c r="MXH108" s="75"/>
      <c r="MXI108" s="72"/>
      <c r="MXJ108" s="68"/>
      <c r="MXK108" s="1"/>
      <c r="MXL108" s="73"/>
      <c r="MXM108" s="74"/>
      <c r="MXO108" s="75"/>
      <c r="MXR108" s="75"/>
      <c r="MXS108" s="72"/>
      <c r="MXT108" s="68"/>
      <c r="MXU108" s="1"/>
      <c r="MXV108" s="73"/>
      <c r="MXW108" s="74"/>
      <c r="MXY108" s="75"/>
      <c r="MYB108" s="75"/>
      <c r="MYC108" s="72"/>
      <c r="MYD108" s="68"/>
      <c r="MYE108" s="1"/>
      <c r="MYF108" s="73"/>
      <c r="MYG108" s="74"/>
      <c r="MYI108" s="75"/>
      <c r="MYL108" s="75"/>
      <c r="MYM108" s="72"/>
      <c r="MYN108" s="68"/>
      <c r="MYO108" s="1"/>
      <c r="MYP108" s="73"/>
      <c r="MYQ108" s="74"/>
      <c r="MYS108" s="75"/>
      <c r="MYV108" s="75"/>
      <c r="MYW108" s="72"/>
      <c r="MYX108" s="68"/>
      <c r="MYY108" s="1"/>
      <c r="MYZ108" s="73"/>
      <c r="MZA108" s="74"/>
      <c r="MZC108" s="75"/>
      <c r="MZF108" s="75"/>
      <c r="MZG108" s="72"/>
      <c r="MZH108" s="68"/>
      <c r="MZI108" s="1"/>
      <c r="MZJ108" s="73"/>
      <c r="MZK108" s="74"/>
      <c r="MZM108" s="75"/>
      <c r="MZP108" s="75"/>
      <c r="MZQ108" s="72"/>
      <c r="MZR108" s="68"/>
      <c r="MZS108" s="1"/>
      <c r="MZT108" s="73"/>
      <c r="MZU108" s="74"/>
      <c r="MZW108" s="75"/>
      <c r="MZZ108" s="75"/>
      <c r="NAA108" s="72"/>
      <c r="NAB108" s="68"/>
      <c r="NAC108" s="1"/>
      <c r="NAD108" s="73"/>
      <c r="NAE108" s="74"/>
      <c r="NAG108" s="75"/>
      <c r="NAJ108" s="75"/>
      <c r="NAK108" s="72"/>
      <c r="NAL108" s="68"/>
      <c r="NAM108" s="1"/>
      <c r="NAN108" s="73"/>
      <c r="NAO108" s="74"/>
      <c r="NAQ108" s="75"/>
      <c r="NAT108" s="75"/>
      <c r="NAU108" s="72"/>
      <c r="NAV108" s="68"/>
      <c r="NAW108" s="1"/>
      <c r="NAX108" s="73"/>
      <c r="NAY108" s="74"/>
      <c r="NBA108" s="75"/>
      <c r="NBD108" s="75"/>
      <c r="NBE108" s="72"/>
      <c r="NBF108" s="68"/>
      <c r="NBG108" s="1"/>
      <c r="NBH108" s="73"/>
      <c r="NBI108" s="74"/>
      <c r="NBK108" s="75"/>
      <c r="NBN108" s="75"/>
      <c r="NBO108" s="72"/>
      <c r="NBP108" s="68"/>
      <c r="NBQ108" s="1"/>
      <c r="NBR108" s="73"/>
      <c r="NBS108" s="74"/>
      <c r="NBU108" s="75"/>
      <c r="NBX108" s="75"/>
      <c r="NBY108" s="72"/>
      <c r="NBZ108" s="68"/>
      <c r="NCA108" s="1"/>
      <c r="NCB108" s="73"/>
      <c r="NCC108" s="74"/>
      <c r="NCE108" s="75"/>
      <c r="NCH108" s="75"/>
      <c r="NCI108" s="72"/>
      <c r="NCJ108" s="68"/>
      <c r="NCK108" s="1"/>
      <c r="NCL108" s="73"/>
      <c r="NCM108" s="74"/>
      <c r="NCO108" s="75"/>
      <c r="NCR108" s="75"/>
      <c r="NCS108" s="72"/>
      <c r="NCT108" s="68"/>
      <c r="NCU108" s="1"/>
      <c r="NCV108" s="73"/>
      <c r="NCW108" s="74"/>
      <c r="NCY108" s="75"/>
      <c r="NDB108" s="75"/>
      <c r="NDC108" s="72"/>
      <c r="NDD108" s="68"/>
      <c r="NDE108" s="1"/>
      <c r="NDF108" s="73"/>
      <c r="NDG108" s="74"/>
      <c r="NDI108" s="75"/>
      <c r="NDL108" s="75"/>
      <c r="NDM108" s="72"/>
      <c r="NDN108" s="68"/>
      <c r="NDO108" s="1"/>
      <c r="NDP108" s="73"/>
      <c r="NDQ108" s="74"/>
      <c r="NDS108" s="75"/>
      <c r="NDV108" s="75"/>
      <c r="NDW108" s="72"/>
      <c r="NDX108" s="68"/>
      <c r="NDY108" s="1"/>
      <c r="NDZ108" s="73"/>
      <c r="NEA108" s="74"/>
      <c r="NEC108" s="75"/>
      <c r="NEF108" s="75"/>
      <c r="NEG108" s="72"/>
      <c r="NEH108" s="68"/>
      <c r="NEI108" s="1"/>
      <c r="NEJ108" s="73"/>
      <c r="NEK108" s="74"/>
      <c r="NEM108" s="75"/>
      <c r="NEP108" s="75"/>
      <c r="NEQ108" s="72"/>
      <c r="NER108" s="68"/>
      <c r="NES108" s="1"/>
      <c r="NET108" s="73"/>
      <c r="NEU108" s="74"/>
      <c r="NEW108" s="75"/>
      <c r="NEZ108" s="75"/>
      <c r="NFA108" s="72"/>
      <c r="NFB108" s="68"/>
      <c r="NFC108" s="1"/>
      <c r="NFD108" s="73"/>
      <c r="NFE108" s="74"/>
      <c r="NFG108" s="75"/>
      <c r="NFJ108" s="75"/>
      <c r="NFK108" s="72"/>
      <c r="NFL108" s="68"/>
      <c r="NFM108" s="1"/>
      <c r="NFN108" s="73"/>
      <c r="NFO108" s="74"/>
      <c r="NFQ108" s="75"/>
      <c r="NFT108" s="75"/>
      <c r="NFU108" s="72"/>
      <c r="NFV108" s="68"/>
      <c r="NFW108" s="1"/>
      <c r="NFX108" s="73"/>
      <c r="NFY108" s="74"/>
      <c r="NGA108" s="75"/>
      <c r="NGD108" s="75"/>
      <c r="NGE108" s="72"/>
      <c r="NGF108" s="68"/>
      <c r="NGG108" s="1"/>
      <c r="NGH108" s="73"/>
      <c r="NGI108" s="74"/>
      <c r="NGK108" s="75"/>
      <c r="NGN108" s="75"/>
      <c r="NGO108" s="72"/>
      <c r="NGP108" s="68"/>
      <c r="NGQ108" s="1"/>
      <c r="NGR108" s="73"/>
      <c r="NGS108" s="74"/>
      <c r="NGU108" s="75"/>
      <c r="NGX108" s="75"/>
      <c r="NGY108" s="72"/>
      <c r="NGZ108" s="68"/>
      <c r="NHA108" s="1"/>
      <c r="NHB108" s="73"/>
      <c r="NHC108" s="74"/>
      <c r="NHE108" s="75"/>
      <c r="NHH108" s="75"/>
      <c r="NHI108" s="72"/>
      <c r="NHJ108" s="68"/>
      <c r="NHK108" s="1"/>
      <c r="NHL108" s="73"/>
      <c r="NHM108" s="74"/>
      <c r="NHO108" s="75"/>
      <c r="NHR108" s="75"/>
      <c r="NHS108" s="72"/>
      <c r="NHT108" s="68"/>
      <c r="NHU108" s="1"/>
      <c r="NHV108" s="73"/>
      <c r="NHW108" s="74"/>
      <c r="NHY108" s="75"/>
      <c r="NIB108" s="75"/>
      <c r="NIC108" s="72"/>
      <c r="NID108" s="68"/>
      <c r="NIE108" s="1"/>
      <c r="NIF108" s="73"/>
      <c r="NIG108" s="74"/>
      <c r="NII108" s="75"/>
      <c r="NIL108" s="75"/>
      <c r="NIM108" s="72"/>
      <c r="NIN108" s="68"/>
      <c r="NIO108" s="1"/>
      <c r="NIP108" s="73"/>
      <c r="NIQ108" s="74"/>
      <c r="NIS108" s="75"/>
      <c r="NIV108" s="75"/>
      <c r="NIW108" s="72"/>
      <c r="NIX108" s="68"/>
      <c r="NIY108" s="1"/>
      <c r="NIZ108" s="73"/>
      <c r="NJA108" s="74"/>
      <c r="NJC108" s="75"/>
      <c r="NJF108" s="75"/>
      <c r="NJG108" s="72"/>
      <c r="NJH108" s="68"/>
      <c r="NJI108" s="1"/>
      <c r="NJJ108" s="73"/>
      <c r="NJK108" s="74"/>
      <c r="NJM108" s="75"/>
      <c r="NJP108" s="75"/>
      <c r="NJQ108" s="72"/>
      <c r="NJR108" s="68"/>
      <c r="NJS108" s="1"/>
      <c r="NJT108" s="73"/>
      <c r="NJU108" s="74"/>
      <c r="NJW108" s="75"/>
      <c r="NJZ108" s="75"/>
      <c r="NKA108" s="72"/>
      <c r="NKB108" s="68"/>
      <c r="NKC108" s="1"/>
      <c r="NKD108" s="73"/>
      <c r="NKE108" s="74"/>
      <c r="NKG108" s="75"/>
      <c r="NKJ108" s="75"/>
      <c r="NKK108" s="72"/>
      <c r="NKL108" s="68"/>
      <c r="NKM108" s="1"/>
      <c r="NKN108" s="73"/>
      <c r="NKO108" s="74"/>
      <c r="NKQ108" s="75"/>
      <c r="NKT108" s="75"/>
      <c r="NKU108" s="72"/>
      <c r="NKV108" s="68"/>
      <c r="NKW108" s="1"/>
      <c r="NKX108" s="73"/>
      <c r="NKY108" s="74"/>
      <c r="NLA108" s="75"/>
      <c r="NLD108" s="75"/>
      <c r="NLE108" s="72"/>
      <c r="NLF108" s="68"/>
      <c r="NLG108" s="1"/>
      <c r="NLH108" s="73"/>
      <c r="NLI108" s="74"/>
      <c r="NLK108" s="75"/>
      <c r="NLN108" s="75"/>
      <c r="NLO108" s="72"/>
      <c r="NLP108" s="68"/>
      <c r="NLQ108" s="1"/>
      <c r="NLR108" s="73"/>
      <c r="NLS108" s="74"/>
      <c r="NLU108" s="75"/>
      <c r="NLX108" s="75"/>
      <c r="NLY108" s="72"/>
      <c r="NLZ108" s="68"/>
      <c r="NMA108" s="1"/>
      <c r="NMB108" s="73"/>
      <c r="NMC108" s="74"/>
      <c r="NME108" s="75"/>
      <c r="NMH108" s="75"/>
      <c r="NMI108" s="72"/>
      <c r="NMJ108" s="68"/>
      <c r="NMK108" s="1"/>
      <c r="NML108" s="73"/>
      <c r="NMM108" s="74"/>
      <c r="NMO108" s="75"/>
      <c r="NMR108" s="75"/>
      <c r="NMS108" s="72"/>
      <c r="NMT108" s="68"/>
      <c r="NMU108" s="1"/>
      <c r="NMV108" s="73"/>
      <c r="NMW108" s="74"/>
      <c r="NMY108" s="75"/>
      <c r="NNB108" s="75"/>
      <c r="NNC108" s="72"/>
      <c r="NND108" s="68"/>
      <c r="NNE108" s="1"/>
      <c r="NNF108" s="73"/>
      <c r="NNG108" s="74"/>
      <c r="NNI108" s="75"/>
      <c r="NNL108" s="75"/>
      <c r="NNM108" s="72"/>
      <c r="NNN108" s="68"/>
      <c r="NNO108" s="1"/>
      <c r="NNP108" s="73"/>
      <c r="NNQ108" s="74"/>
      <c r="NNS108" s="75"/>
      <c r="NNV108" s="75"/>
      <c r="NNW108" s="72"/>
      <c r="NNX108" s="68"/>
      <c r="NNY108" s="1"/>
      <c r="NNZ108" s="73"/>
      <c r="NOA108" s="74"/>
      <c r="NOC108" s="75"/>
      <c r="NOF108" s="75"/>
      <c r="NOG108" s="72"/>
      <c r="NOH108" s="68"/>
      <c r="NOI108" s="1"/>
      <c r="NOJ108" s="73"/>
      <c r="NOK108" s="74"/>
      <c r="NOM108" s="75"/>
      <c r="NOP108" s="75"/>
      <c r="NOQ108" s="72"/>
      <c r="NOR108" s="68"/>
      <c r="NOS108" s="1"/>
      <c r="NOT108" s="73"/>
      <c r="NOU108" s="74"/>
      <c r="NOW108" s="75"/>
      <c r="NOZ108" s="75"/>
      <c r="NPA108" s="72"/>
      <c r="NPB108" s="68"/>
      <c r="NPC108" s="1"/>
      <c r="NPD108" s="73"/>
      <c r="NPE108" s="74"/>
      <c r="NPG108" s="75"/>
      <c r="NPJ108" s="75"/>
      <c r="NPK108" s="72"/>
      <c r="NPL108" s="68"/>
      <c r="NPM108" s="1"/>
      <c r="NPN108" s="73"/>
      <c r="NPO108" s="74"/>
      <c r="NPQ108" s="75"/>
      <c r="NPT108" s="75"/>
      <c r="NPU108" s="72"/>
      <c r="NPV108" s="68"/>
      <c r="NPW108" s="1"/>
      <c r="NPX108" s="73"/>
      <c r="NPY108" s="74"/>
      <c r="NQA108" s="75"/>
      <c r="NQD108" s="75"/>
      <c r="NQE108" s="72"/>
      <c r="NQF108" s="68"/>
      <c r="NQG108" s="1"/>
      <c r="NQH108" s="73"/>
      <c r="NQI108" s="74"/>
      <c r="NQK108" s="75"/>
      <c r="NQN108" s="75"/>
      <c r="NQO108" s="72"/>
      <c r="NQP108" s="68"/>
      <c r="NQQ108" s="1"/>
      <c r="NQR108" s="73"/>
      <c r="NQS108" s="74"/>
      <c r="NQU108" s="75"/>
      <c r="NQX108" s="75"/>
      <c r="NQY108" s="72"/>
      <c r="NQZ108" s="68"/>
      <c r="NRA108" s="1"/>
      <c r="NRB108" s="73"/>
      <c r="NRC108" s="74"/>
      <c r="NRE108" s="75"/>
      <c r="NRH108" s="75"/>
      <c r="NRI108" s="72"/>
      <c r="NRJ108" s="68"/>
      <c r="NRK108" s="1"/>
      <c r="NRL108" s="73"/>
      <c r="NRM108" s="74"/>
      <c r="NRO108" s="75"/>
      <c r="NRR108" s="75"/>
      <c r="NRS108" s="72"/>
      <c r="NRT108" s="68"/>
      <c r="NRU108" s="1"/>
      <c r="NRV108" s="73"/>
      <c r="NRW108" s="74"/>
      <c r="NRY108" s="75"/>
      <c r="NSB108" s="75"/>
      <c r="NSC108" s="72"/>
      <c r="NSD108" s="68"/>
      <c r="NSE108" s="1"/>
      <c r="NSF108" s="73"/>
      <c r="NSG108" s="74"/>
      <c r="NSI108" s="75"/>
      <c r="NSL108" s="75"/>
      <c r="NSM108" s="72"/>
      <c r="NSN108" s="68"/>
      <c r="NSO108" s="1"/>
      <c r="NSP108" s="73"/>
      <c r="NSQ108" s="74"/>
      <c r="NSS108" s="75"/>
      <c r="NSV108" s="75"/>
      <c r="NSW108" s="72"/>
      <c r="NSX108" s="68"/>
      <c r="NSY108" s="1"/>
      <c r="NSZ108" s="73"/>
      <c r="NTA108" s="74"/>
      <c r="NTC108" s="75"/>
      <c r="NTF108" s="75"/>
      <c r="NTG108" s="72"/>
      <c r="NTH108" s="68"/>
      <c r="NTI108" s="1"/>
      <c r="NTJ108" s="73"/>
      <c r="NTK108" s="74"/>
      <c r="NTM108" s="75"/>
      <c r="NTP108" s="75"/>
      <c r="NTQ108" s="72"/>
      <c r="NTR108" s="68"/>
      <c r="NTS108" s="1"/>
      <c r="NTT108" s="73"/>
      <c r="NTU108" s="74"/>
      <c r="NTW108" s="75"/>
      <c r="NTZ108" s="75"/>
      <c r="NUA108" s="72"/>
      <c r="NUB108" s="68"/>
      <c r="NUC108" s="1"/>
      <c r="NUD108" s="73"/>
      <c r="NUE108" s="74"/>
      <c r="NUG108" s="75"/>
      <c r="NUJ108" s="75"/>
      <c r="NUK108" s="72"/>
      <c r="NUL108" s="68"/>
      <c r="NUM108" s="1"/>
      <c r="NUN108" s="73"/>
      <c r="NUO108" s="74"/>
      <c r="NUQ108" s="75"/>
      <c r="NUT108" s="75"/>
      <c r="NUU108" s="72"/>
      <c r="NUV108" s="68"/>
      <c r="NUW108" s="1"/>
      <c r="NUX108" s="73"/>
      <c r="NUY108" s="74"/>
      <c r="NVA108" s="75"/>
      <c r="NVD108" s="75"/>
      <c r="NVE108" s="72"/>
      <c r="NVF108" s="68"/>
      <c r="NVG108" s="1"/>
      <c r="NVH108" s="73"/>
      <c r="NVI108" s="74"/>
      <c r="NVK108" s="75"/>
      <c r="NVN108" s="75"/>
      <c r="NVO108" s="72"/>
      <c r="NVP108" s="68"/>
      <c r="NVQ108" s="1"/>
      <c r="NVR108" s="73"/>
      <c r="NVS108" s="74"/>
      <c r="NVU108" s="75"/>
      <c r="NVX108" s="75"/>
      <c r="NVY108" s="72"/>
      <c r="NVZ108" s="68"/>
      <c r="NWA108" s="1"/>
      <c r="NWB108" s="73"/>
      <c r="NWC108" s="74"/>
      <c r="NWE108" s="75"/>
      <c r="NWH108" s="75"/>
      <c r="NWI108" s="72"/>
      <c r="NWJ108" s="68"/>
      <c r="NWK108" s="1"/>
      <c r="NWL108" s="73"/>
      <c r="NWM108" s="74"/>
      <c r="NWO108" s="75"/>
      <c r="NWR108" s="75"/>
      <c r="NWS108" s="72"/>
      <c r="NWT108" s="68"/>
      <c r="NWU108" s="1"/>
      <c r="NWV108" s="73"/>
      <c r="NWW108" s="74"/>
      <c r="NWY108" s="75"/>
      <c r="NXB108" s="75"/>
      <c r="NXC108" s="72"/>
      <c r="NXD108" s="68"/>
      <c r="NXE108" s="1"/>
      <c r="NXF108" s="73"/>
      <c r="NXG108" s="74"/>
      <c r="NXI108" s="75"/>
      <c r="NXL108" s="75"/>
      <c r="NXM108" s="72"/>
      <c r="NXN108" s="68"/>
      <c r="NXO108" s="1"/>
      <c r="NXP108" s="73"/>
      <c r="NXQ108" s="74"/>
      <c r="NXS108" s="75"/>
      <c r="NXV108" s="75"/>
      <c r="NXW108" s="72"/>
      <c r="NXX108" s="68"/>
      <c r="NXY108" s="1"/>
      <c r="NXZ108" s="73"/>
      <c r="NYA108" s="74"/>
      <c r="NYC108" s="75"/>
      <c r="NYF108" s="75"/>
      <c r="NYG108" s="72"/>
      <c r="NYH108" s="68"/>
      <c r="NYI108" s="1"/>
      <c r="NYJ108" s="73"/>
      <c r="NYK108" s="74"/>
      <c r="NYM108" s="75"/>
      <c r="NYP108" s="75"/>
      <c r="NYQ108" s="72"/>
      <c r="NYR108" s="68"/>
      <c r="NYS108" s="1"/>
      <c r="NYT108" s="73"/>
      <c r="NYU108" s="74"/>
      <c r="NYW108" s="75"/>
      <c r="NYZ108" s="75"/>
      <c r="NZA108" s="72"/>
      <c r="NZB108" s="68"/>
      <c r="NZC108" s="1"/>
      <c r="NZD108" s="73"/>
      <c r="NZE108" s="74"/>
      <c r="NZG108" s="75"/>
      <c r="NZJ108" s="75"/>
      <c r="NZK108" s="72"/>
      <c r="NZL108" s="68"/>
      <c r="NZM108" s="1"/>
      <c r="NZN108" s="73"/>
      <c r="NZO108" s="74"/>
      <c r="NZQ108" s="75"/>
      <c r="NZT108" s="75"/>
      <c r="NZU108" s="72"/>
      <c r="NZV108" s="68"/>
      <c r="NZW108" s="1"/>
      <c r="NZX108" s="73"/>
      <c r="NZY108" s="74"/>
      <c r="OAA108" s="75"/>
      <c r="OAD108" s="75"/>
      <c r="OAE108" s="72"/>
      <c r="OAF108" s="68"/>
      <c r="OAG108" s="1"/>
      <c r="OAH108" s="73"/>
      <c r="OAI108" s="74"/>
      <c r="OAK108" s="75"/>
      <c r="OAN108" s="75"/>
      <c r="OAO108" s="72"/>
      <c r="OAP108" s="68"/>
      <c r="OAQ108" s="1"/>
      <c r="OAR108" s="73"/>
      <c r="OAS108" s="74"/>
      <c r="OAU108" s="75"/>
      <c r="OAX108" s="75"/>
      <c r="OAY108" s="72"/>
      <c r="OAZ108" s="68"/>
      <c r="OBA108" s="1"/>
      <c r="OBB108" s="73"/>
      <c r="OBC108" s="74"/>
      <c r="OBE108" s="75"/>
      <c r="OBH108" s="75"/>
      <c r="OBI108" s="72"/>
      <c r="OBJ108" s="68"/>
      <c r="OBK108" s="1"/>
      <c r="OBL108" s="73"/>
      <c r="OBM108" s="74"/>
      <c r="OBO108" s="75"/>
      <c r="OBR108" s="75"/>
      <c r="OBS108" s="72"/>
      <c r="OBT108" s="68"/>
      <c r="OBU108" s="1"/>
      <c r="OBV108" s="73"/>
      <c r="OBW108" s="74"/>
      <c r="OBY108" s="75"/>
      <c r="OCB108" s="75"/>
      <c r="OCC108" s="72"/>
      <c r="OCD108" s="68"/>
      <c r="OCE108" s="1"/>
      <c r="OCF108" s="73"/>
      <c r="OCG108" s="74"/>
      <c r="OCI108" s="75"/>
      <c r="OCL108" s="75"/>
      <c r="OCM108" s="72"/>
      <c r="OCN108" s="68"/>
      <c r="OCO108" s="1"/>
      <c r="OCP108" s="73"/>
      <c r="OCQ108" s="74"/>
      <c r="OCS108" s="75"/>
      <c r="OCV108" s="75"/>
      <c r="OCW108" s="72"/>
      <c r="OCX108" s="68"/>
      <c r="OCY108" s="1"/>
      <c r="OCZ108" s="73"/>
      <c r="ODA108" s="74"/>
      <c r="ODC108" s="75"/>
      <c r="ODF108" s="75"/>
      <c r="ODG108" s="72"/>
      <c r="ODH108" s="68"/>
      <c r="ODI108" s="1"/>
      <c r="ODJ108" s="73"/>
      <c r="ODK108" s="74"/>
      <c r="ODM108" s="75"/>
      <c r="ODP108" s="75"/>
      <c r="ODQ108" s="72"/>
      <c r="ODR108" s="68"/>
      <c r="ODS108" s="1"/>
      <c r="ODT108" s="73"/>
      <c r="ODU108" s="74"/>
      <c r="ODW108" s="75"/>
      <c r="ODZ108" s="75"/>
      <c r="OEA108" s="72"/>
      <c r="OEB108" s="68"/>
      <c r="OEC108" s="1"/>
      <c r="OED108" s="73"/>
      <c r="OEE108" s="74"/>
      <c r="OEG108" s="75"/>
      <c r="OEJ108" s="75"/>
      <c r="OEK108" s="72"/>
      <c r="OEL108" s="68"/>
      <c r="OEM108" s="1"/>
      <c r="OEN108" s="73"/>
      <c r="OEO108" s="74"/>
      <c r="OEQ108" s="75"/>
      <c r="OET108" s="75"/>
      <c r="OEU108" s="72"/>
      <c r="OEV108" s="68"/>
      <c r="OEW108" s="1"/>
      <c r="OEX108" s="73"/>
      <c r="OEY108" s="74"/>
      <c r="OFA108" s="75"/>
      <c r="OFD108" s="75"/>
      <c r="OFE108" s="72"/>
      <c r="OFF108" s="68"/>
      <c r="OFG108" s="1"/>
      <c r="OFH108" s="73"/>
      <c r="OFI108" s="74"/>
      <c r="OFK108" s="75"/>
      <c r="OFN108" s="75"/>
      <c r="OFO108" s="72"/>
      <c r="OFP108" s="68"/>
      <c r="OFQ108" s="1"/>
      <c r="OFR108" s="73"/>
      <c r="OFS108" s="74"/>
      <c r="OFU108" s="75"/>
      <c r="OFX108" s="75"/>
      <c r="OFY108" s="72"/>
      <c r="OFZ108" s="68"/>
      <c r="OGA108" s="1"/>
      <c r="OGB108" s="73"/>
      <c r="OGC108" s="74"/>
      <c r="OGE108" s="75"/>
      <c r="OGH108" s="75"/>
      <c r="OGI108" s="72"/>
      <c r="OGJ108" s="68"/>
      <c r="OGK108" s="1"/>
      <c r="OGL108" s="73"/>
      <c r="OGM108" s="74"/>
      <c r="OGO108" s="75"/>
      <c r="OGR108" s="75"/>
      <c r="OGS108" s="72"/>
      <c r="OGT108" s="68"/>
      <c r="OGU108" s="1"/>
      <c r="OGV108" s="73"/>
      <c r="OGW108" s="74"/>
      <c r="OGY108" s="75"/>
      <c r="OHB108" s="75"/>
      <c r="OHC108" s="72"/>
      <c r="OHD108" s="68"/>
      <c r="OHE108" s="1"/>
      <c r="OHF108" s="73"/>
      <c r="OHG108" s="74"/>
      <c r="OHI108" s="75"/>
      <c r="OHL108" s="75"/>
      <c r="OHM108" s="72"/>
      <c r="OHN108" s="68"/>
      <c r="OHO108" s="1"/>
      <c r="OHP108" s="73"/>
      <c r="OHQ108" s="74"/>
      <c r="OHS108" s="75"/>
      <c r="OHV108" s="75"/>
      <c r="OHW108" s="72"/>
      <c r="OHX108" s="68"/>
      <c r="OHY108" s="1"/>
      <c r="OHZ108" s="73"/>
      <c r="OIA108" s="74"/>
      <c r="OIC108" s="75"/>
      <c r="OIF108" s="75"/>
      <c r="OIG108" s="72"/>
      <c r="OIH108" s="68"/>
      <c r="OII108" s="1"/>
      <c r="OIJ108" s="73"/>
      <c r="OIK108" s="74"/>
      <c r="OIM108" s="75"/>
      <c r="OIP108" s="75"/>
      <c r="OIQ108" s="72"/>
      <c r="OIR108" s="68"/>
      <c r="OIS108" s="1"/>
      <c r="OIT108" s="73"/>
      <c r="OIU108" s="74"/>
      <c r="OIW108" s="75"/>
      <c r="OIZ108" s="75"/>
      <c r="OJA108" s="72"/>
      <c r="OJB108" s="68"/>
      <c r="OJC108" s="1"/>
      <c r="OJD108" s="73"/>
      <c r="OJE108" s="74"/>
      <c r="OJG108" s="75"/>
      <c r="OJJ108" s="75"/>
      <c r="OJK108" s="72"/>
      <c r="OJL108" s="68"/>
      <c r="OJM108" s="1"/>
      <c r="OJN108" s="73"/>
      <c r="OJO108" s="74"/>
      <c r="OJQ108" s="75"/>
      <c r="OJT108" s="75"/>
      <c r="OJU108" s="72"/>
      <c r="OJV108" s="68"/>
      <c r="OJW108" s="1"/>
      <c r="OJX108" s="73"/>
      <c r="OJY108" s="74"/>
      <c r="OKA108" s="75"/>
      <c r="OKD108" s="75"/>
      <c r="OKE108" s="72"/>
      <c r="OKF108" s="68"/>
      <c r="OKG108" s="1"/>
      <c r="OKH108" s="73"/>
      <c r="OKI108" s="74"/>
      <c r="OKK108" s="75"/>
      <c r="OKN108" s="75"/>
      <c r="OKO108" s="72"/>
      <c r="OKP108" s="68"/>
      <c r="OKQ108" s="1"/>
      <c r="OKR108" s="73"/>
      <c r="OKS108" s="74"/>
      <c r="OKU108" s="75"/>
      <c r="OKX108" s="75"/>
      <c r="OKY108" s="72"/>
      <c r="OKZ108" s="68"/>
      <c r="OLA108" s="1"/>
      <c r="OLB108" s="73"/>
      <c r="OLC108" s="74"/>
      <c r="OLE108" s="75"/>
      <c r="OLH108" s="75"/>
      <c r="OLI108" s="72"/>
      <c r="OLJ108" s="68"/>
      <c r="OLK108" s="1"/>
      <c r="OLL108" s="73"/>
      <c r="OLM108" s="74"/>
      <c r="OLO108" s="75"/>
      <c r="OLR108" s="75"/>
      <c r="OLS108" s="72"/>
      <c r="OLT108" s="68"/>
      <c r="OLU108" s="1"/>
      <c r="OLV108" s="73"/>
      <c r="OLW108" s="74"/>
      <c r="OLY108" s="75"/>
      <c r="OMB108" s="75"/>
      <c r="OMC108" s="72"/>
      <c r="OMD108" s="68"/>
      <c r="OME108" s="1"/>
      <c r="OMF108" s="73"/>
      <c r="OMG108" s="74"/>
      <c r="OMI108" s="75"/>
      <c r="OML108" s="75"/>
      <c r="OMM108" s="72"/>
      <c r="OMN108" s="68"/>
      <c r="OMO108" s="1"/>
      <c r="OMP108" s="73"/>
      <c r="OMQ108" s="74"/>
      <c r="OMS108" s="75"/>
      <c r="OMV108" s="75"/>
      <c r="OMW108" s="72"/>
      <c r="OMX108" s="68"/>
      <c r="OMY108" s="1"/>
      <c r="OMZ108" s="73"/>
      <c r="ONA108" s="74"/>
      <c r="ONC108" s="75"/>
      <c r="ONF108" s="75"/>
      <c r="ONG108" s="72"/>
      <c r="ONH108" s="68"/>
      <c r="ONI108" s="1"/>
      <c r="ONJ108" s="73"/>
      <c r="ONK108" s="74"/>
      <c r="ONM108" s="75"/>
      <c r="ONP108" s="75"/>
      <c r="ONQ108" s="72"/>
      <c r="ONR108" s="68"/>
      <c r="ONS108" s="1"/>
      <c r="ONT108" s="73"/>
      <c r="ONU108" s="74"/>
      <c r="ONW108" s="75"/>
      <c r="ONZ108" s="75"/>
      <c r="OOA108" s="72"/>
      <c r="OOB108" s="68"/>
      <c r="OOC108" s="1"/>
      <c r="OOD108" s="73"/>
      <c r="OOE108" s="74"/>
      <c r="OOG108" s="75"/>
      <c r="OOJ108" s="75"/>
      <c r="OOK108" s="72"/>
      <c r="OOL108" s="68"/>
      <c r="OOM108" s="1"/>
      <c r="OON108" s="73"/>
      <c r="OOO108" s="74"/>
      <c r="OOQ108" s="75"/>
      <c r="OOT108" s="75"/>
      <c r="OOU108" s="72"/>
      <c r="OOV108" s="68"/>
      <c r="OOW108" s="1"/>
      <c r="OOX108" s="73"/>
      <c r="OOY108" s="74"/>
      <c r="OPA108" s="75"/>
      <c r="OPD108" s="75"/>
      <c r="OPE108" s="72"/>
      <c r="OPF108" s="68"/>
      <c r="OPG108" s="1"/>
      <c r="OPH108" s="73"/>
      <c r="OPI108" s="74"/>
      <c r="OPK108" s="75"/>
      <c r="OPN108" s="75"/>
      <c r="OPO108" s="72"/>
      <c r="OPP108" s="68"/>
      <c r="OPQ108" s="1"/>
      <c r="OPR108" s="73"/>
      <c r="OPS108" s="74"/>
      <c r="OPU108" s="75"/>
      <c r="OPX108" s="75"/>
      <c r="OPY108" s="72"/>
      <c r="OPZ108" s="68"/>
      <c r="OQA108" s="1"/>
      <c r="OQB108" s="73"/>
      <c r="OQC108" s="74"/>
      <c r="OQE108" s="75"/>
      <c r="OQH108" s="75"/>
      <c r="OQI108" s="72"/>
      <c r="OQJ108" s="68"/>
      <c r="OQK108" s="1"/>
      <c r="OQL108" s="73"/>
      <c r="OQM108" s="74"/>
      <c r="OQO108" s="75"/>
      <c r="OQR108" s="75"/>
      <c r="OQS108" s="72"/>
      <c r="OQT108" s="68"/>
      <c r="OQU108" s="1"/>
      <c r="OQV108" s="73"/>
      <c r="OQW108" s="74"/>
      <c r="OQY108" s="75"/>
      <c r="ORB108" s="75"/>
      <c r="ORC108" s="72"/>
      <c r="ORD108" s="68"/>
      <c r="ORE108" s="1"/>
      <c r="ORF108" s="73"/>
      <c r="ORG108" s="74"/>
      <c r="ORI108" s="75"/>
      <c r="ORL108" s="75"/>
      <c r="ORM108" s="72"/>
      <c r="ORN108" s="68"/>
      <c r="ORO108" s="1"/>
      <c r="ORP108" s="73"/>
      <c r="ORQ108" s="74"/>
      <c r="ORS108" s="75"/>
      <c r="ORV108" s="75"/>
      <c r="ORW108" s="72"/>
      <c r="ORX108" s="68"/>
      <c r="ORY108" s="1"/>
      <c r="ORZ108" s="73"/>
      <c r="OSA108" s="74"/>
      <c r="OSC108" s="75"/>
      <c r="OSF108" s="75"/>
      <c r="OSG108" s="72"/>
      <c r="OSH108" s="68"/>
      <c r="OSI108" s="1"/>
      <c r="OSJ108" s="73"/>
      <c r="OSK108" s="74"/>
      <c r="OSM108" s="75"/>
      <c r="OSP108" s="75"/>
      <c r="OSQ108" s="72"/>
      <c r="OSR108" s="68"/>
      <c r="OSS108" s="1"/>
      <c r="OST108" s="73"/>
      <c r="OSU108" s="74"/>
      <c r="OSW108" s="75"/>
      <c r="OSZ108" s="75"/>
      <c r="OTA108" s="72"/>
      <c r="OTB108" s="68"/>
      <c r="OTC108" s="1"/>
      <c r="OTD108" s="73"/>
      <c r="OTE108" s="74"/>
      <c r="OTG108" s="75"/>
      <c r="OTJ108" s="75"/>
      <c r="OTK108" s="72"/>
      <c r="OTL108" s="68"/>
      <c r="OTM108" s="1"/>
      <c r="OTN108" s="73"/>
      <c r="OTO108" s="74"/>
      <c r="OTQ108" s="75"/>
      <c r="OTT108" s="75"/>
      <c r="OTU108" s="72"/>
      <c r="OTV108" s="68"/>
      <c r="OTW108" s="1"/>
      <c r="OTX108" s="73"/>
      <c r="OTY108" s="74"/>
      <c r="OUA108" s="75"/>
      <c r="OUD108" s="75"/>
      <c r="OUE108" s="72"/>
      <c r="OUF108" s="68"/>
      <c r="OUG108" s="1"/>
      <c r="OUH108" s="73"/>
      <c r="OUI108" s="74"/>
      <c r="OUK108" s="75"/>
      <c r="OUN108" s="75"/>
      <c r="OUO108" s="72"/>
      <c r="OUP108" s="68"/>
      <c r="OUQ108" s="1"/>
      <c r="OUR108" s="73"/>
      <c r="OUS108" s="74"/>
      <c r="OUU108" s="75"/>
      <c r="OUX108" s="75"/>
      <c r="OUY108" s="72"/>
      <c r="OUZ108" s="68"/>
      <c r="OVA108" s="1"/>
      <c r="OVB108" s="73"/>
      <c r="OVC108" s="74"/>
      <c r="OVE108" s="75"/>
      <c r="OVH108" s="75"/>
      <c r="OVI108" s="72"/>
      <c r="OVJ108" s="68"/>
      <c r="OVK108" s="1"/>
      <c r="OVL108" s="73"/>
      <c r="OVM108" s="74"/>
      <c r="OVO108" s="75"/>
      <c r="OVR108" s="75"/>
      <c r="OVS108" s="72"/>
      <c r="OVT108" s="68"/>
      <c r="OVU108" s="1"/>
      <c r="OVV108" s="73"/>
      <c r="OVW108" s="74"/>
      <c r="OVY108" s="75"/>
      <c r="OWB108" s="75"/>
      <c r="OWC108" s="72"/>
      <c r="OWD108" s="68"/>
      <c r="OWE108" s="1"/>
      <c r="OWF108" s="73"/>
      <c r="OWG108" s="74"/>
      <c r="OWI108" s="75"/>
      <c r="OWL108" s="75"/>
      <c r="OWM108" s="72"/>
      <c r="OWN108" s="68"/>
      <c r="OWO108" s="1"/>
      <c r="OWP108" s="73"/>
      <c r="OWQ108" s="74"/>
      <c r="OWS108" s="75"/>
      <c r="OWV108" s="75"/>
      <c r="OWW108" s="72"/>
      <c r="OWX108" s="68"/>
      <c r="OWY108" s="1"/>
      <c r="OWZ108" s="73"/>
      <c r="OXA108" s="74"/>
      <c r="OXC108" s="75"/>
      <c r="OXF108" s="75"/>
      <c r="OXG108" s="72"/>
      <c r="OXH108" s="68"/>
      <c r="OXI108" s="1"/>
      <c r="OXJ108" s="73"/>
      <c r="OXK108" s="74"/>
      <c r="OXM108" s="75"/>
      <c r="OXP108" s="75"/>
      <c r="OXQ108" s="72"/>
      <c r="OXR108" s="68"/>
      <c r="OXS108" s="1"/>
      <c r="OXT108" s="73"/>
      <c r="OXU108" s="74"/>
      <c r="OXW108" s="75"/>
      <c r="OXZ108" s="75"/>
      <c r="OYA108" s="72"/>
      <c r="OYB108" s="68"/>
      <c r="OYC108" s="1"/>
      <c r="OYD108" s="73"/>
      <c r="OYE108" s="74"/>
      <c r="OYG108" s="75"/>
      <c r="OYJ108" s="75"/>
      <c r="OYK108" s="72"/>
      <c r="OYL108" s="68"/>
      <c r="OYM108" s="1"/>
      <c r="OYN108" s="73"/>
      <c r="OYO108" s="74"/>
      <c r="OYQ108" s="75"/>
      <c r="OYT108" s="75"/>
      <c r="OYU108" s="72"/>
      <c r="OYV108" s="68"/>
      <c r="OYW108" s="1"/>
      <c r="OYX108" s="73"/>
      <c r="OYY108" s="74"/>
      <c r="OZA108" s="75"/>
      <c r="OZD108" s="75"/>
      <c r="OZE108" s="72"/>
      <c r="OZF108" s="68"/>
      <c r="OZG108" s="1"/>
      <c r="OZH108" s="73"/>
      <c r="OZI108" s="74"/>
      <c r="OZK108" s="75"/>
      <c r="OZN108" s="75"/>
      <c r="OZO108" s="72"/>
      <c r="OZP108" s="68"/>
      <c r="OZQ108" s="1"/>
      <c r="OZR108" s="73"/>
      <c r="OZS108" s="74"/>
      <c r="OZU108" s="75"/>
      <c r="OZX108" s="75"/>
      <c r="OZY108" s="72"/>
      <c r="OZZ108" s="68"/>
      <c r="PAA108" s="1"/>
      <c r="PAB108" s="73"/>
      <c r="PAC108" s="74"/>
      <c r="PAE108" s="75"/>
      <c r="PAH108" s="75"/>
      <c r="PAI108" s="72"/>
      <c r="PAJ108" s="68"/>
      <c r="PAK108" s="1"/>
      <c r="PAL108" s="73"/>
      <c r="PAM108" s="74"/>
      <c r="PAO108" s="75"/>
      <c r="PAR108" s="75"/>
      <c r="PAS108" s="72"/>
      <c r="PAT108" s="68"/>
      <c r="PAU108" s="1"/>
      <c r="PAV108" s="73"/>
      <c r="PAW108" s="74"/>
      <c r="PAY108" s="75"/>
      <c r="PBB108" s="75"/>
      <c r="PBC108" s="72"/>
      <c r="PBD108" s="68"/>
      <c r="PBE108" s="1"/>
      <c r="PBF108" s="73"/>
      <c r="PBG108" s="74"/>
      <c r="PBI108" s="75"/>
      <c r="PBL108" s="75"/>
      <c r="PBM108" s="72"/>
      <c r="PBN108" s="68"/>
      <c r="PBO108" s="1"/>
      <c r="PBP108" s="73"/>
      <c r="PBQ108" s="74"/>
      <c r="PBS108" s="75"/>
      <c r="PBV108" s="75"/>
      <c r="PBW108" s="72"/>
      <c r="PBX108" s="68"/>
      <c r="PBY108" s="1"/>
      <c r="PBZ108" s="73"/>
      <c r="PCA108" s="74"/>
      <c r="PCC108" s="75"/>
      <c r="PCF108" s="75"/>
      <c r="PCG108" s="72"/>
      <c r="PCH108" s="68"/>
      <c r="PCI108" s="1"/>
      <c r="PCJ108" s="73"/>
      <c r="PCK108" s="74"/>
      <c r="PCM108" s="75"/>
      <c r="PCP108" s="75"/>
      <c r="PCQ108" s="72"/>
      <c r="PCR108" s="68"/>
      <c r="PCS108" s="1"/>
      <c r="PCT108" s="73"/>
      <c r="PCU108" s="74"/>
      <c r="PCW108" s="75"/>
      <c r="PCZ108" s="75"/>
      <c r="PDA108" s="72"/>
      <c r="PDB108" s="68"/>
      <c r="PDC108" s="1"/>
      <c r="PDD108" s="73"/>
      <c r="PDE108" s="74"/>
      <c r="PDG108" s="75"/>
      <c r="PDJ108" s="75"/>
      <c r="PDK108" s="72"/>
      <c r="PDL108" s="68"/>
      <c r="PDM108" s="1"/>
      <c r="PDN108" s="73"/>
      <c r="PDO108" s="74"/>
      <c r="PDQ108" s="75"/>
      <c r="PDT108" s="75"/>
      <c r="PDU108" s="72"/>
      <c r="PDV108" s="68"/>
      <c r="PDW108" s="1"/>
      <c r="PDX108" s="73"/>
      <c r="PDY108" s="74"/>
      <c r="PEA108" s="75"/>
      <c r="PED108" s="75"/>
      <c r="PEE108" s="72"/>
      <c r="PEF108" s="68"/>
      <c r="PEG108" s="1"/>
      <c r="PEH108" s="73"/>
      <c r="PEI108" s="74"/>
      <c r="PEK108" s="75"/>
      <c r="PEN108" s="75"/>
      <c r="PEO108" s="72"/>
      <c r="PEP108" s="68"/>
      <c r="PEQ108" s="1"/>
      <c r="PER108" s="73"/>
      <c r="PES108" s="74"/>
      <c r="PEU108" s="75"/>
      <c r="PEX108" s="75"/>
      <c r="PEY108" s="72"/>
      <c r="PEZ108" s="68"/>
      <c r="PFA108" s="1"/>
      <c r="PFB108" s="73"/>
      <c r="PFC108" s="74"/>
      <c r="PFE108" s="75"/>
      <c r="PFH108" s="75"/>
      <c r="PFI108" s="72"/>
      <c r="PFJ108" s="68"/>
      <c r="PFK108" s="1"/>
      <c r="PFL108" s="73"/>
      <c r="PFM108" s="74"/>
      <c r="PFO108" s="75"/>
      <c r="PFR108" s="75"/>
      <c r="PFS108" s="72"/>
      <c r="PFT108" s="68"/>
      <c r="PFU108" s="1"/>
      <c r="PFV108" s="73"/>
      <c r="PFW108" s="74"/>
      <c r="PFY108" s="75"/>
      <c r="PGB108" s="75"/>
      <c r="PGC108" s="72"/>
      <c r="PGD108" s="68"/>
      <c r="PGE108" s="1"/>
      <c r="PGF108" s="73"/>
      <c r="PGG108" s="74"/>
      <c r="PGI108" s="75"/>
      <c r="PGL108" s="75"/>
      <c r="PGM108" s="72"/>
      <c r="PGN108" s="68"/>
      <c r="PGO108" s="1"/>
      <c r="PGP108" s="73"/>
      <c r="PGQ108" s="74"/>
      <c r="PGS108" s="75"/>
      <c r="PGV108" s="75"/>
      <c r="PGW108" s="72"/>
      <c r="PGX108" s="68"/>
      <c r="PGY108" s="1"/>
      <c r="PGZ108" s="73"/>
      <c r="PHA108" s="74"/>
      <c r="PHC108" s="75"/>
      <c r="PHF108" s="75"/>
      <c r="PHG108" s="72"/>
      <c r="PHH108" s="68"/>
      <c r="PHI108" s="1"/>
      <c r="PHJ108" s="73"/>
      <c r="PHK108" s="74"/>
      <c r="PHM108" s="75"/>
      <c r="PHP108" s="75"/>
      <c r="PHQ108" s="72"/>
      <c r="PHR108" s="68"/>
      <c r="PHS108" s="1"/>
      <c r="PHT108" s="73"/>
      <c r="PHU108" s="74"/>
      <c r="PHW108" s="75"/>
      <c r="PHZ108" s="75"/>
      <c r="PIA108" s="72"/>
      <c r="PIB108" s="68"/>
      <c r="PIC108" s="1"/>
      <c r="PID108" s="73"/>
      <c r="PIE108" s="74"/>
      <c r="PIG108" s="75"/>
      <c r="PIJ108" s="75"/>
      <c r="PIK108" s="72"/>
      <c r="PIL108" s="68"/>
      <c r="PIM108" s="1"/>
      <c r="PIN108" s="73"/>
      <c r="PIO108" s="74"/>
      <c r="PIQ108" s="75"/>
      <c r="PIT108" s="75"/>
      <c r="PIU108" s="72"/>
      <c r="PIV108" s="68"/>
      <c r="PIW108" s="1"/>
      <c r="PIX108" s="73"/>
      <c r="PIY108" s="74"/>
      <c r="PJA108" s="75"/>
      <c r="PJD108" s="75"/>
      <c r="PJE108" s="72"/>
      <c r="PJF108" s="68"/>
      <c r="PJG108" s="1"/>
      <c r="PJH108" s="73"/>
      <c r="PJI108" s="74"/>
      <c r="PJK108" s="75"/>
      <c r="PJN108" s="75"/>
      <c r="PJO108" s="72"/>
      <c r="PJP108" s="68"/>
      <c r="PJQ108" s="1"/>
      <c r="PJR108" s="73"/>
      <c r="PJS108" s="74"/>
      <c r="PJU108" s="75"/>
      <c r="PJX108" s="75"/>
      <c r="PJY108" s="72"/>
      <c r="PJZ108" s="68"/>
      <c r="PKA108" s="1"/>
      <c r="PKB108" s="73"/>
      <c r="PKC108" s="74"/>
      <c r="PKE108" s="75"/>
      <c r="PKH108" s="75"/>
      <c r="PKI108" s="72"/>
      <c r="PKJ108" s="68"/>
      <c r="PKK108" s="1"/>
      <c r="PKL108" s="73"/>
      <c r="PKM108" s="74"/>
      <c r="PKO108" s="75"/>
      <c r="PKR108" s="75"/>
      <c r="PKS108" s="72"/>
      <c r="PKT108" s="68"/>
      <c r="PKU108" s="1"/>
      <c r="PKV108" s="73"/>
      <c r="PKW108" s="74"/>
      <c r="PKY108" s="75"/>
      <c r="PLB108" s="75"/>
      <c r="PLC108" s="72"/>
      <c r="PLD108" s="68"/>
      <c r="PLE108" s="1"/>
      <c r="PLF108" s="73"/>
      <c r="PLG108" s="74"/>
      <c r="PLI108" s="75"/>
      <c r="PLL108" s="75"/>
      <c r="PLM108" s="72"/>
      <c r="PLN108" s="68"/>
      <c r="PLO108" s="1"/>
      <c r="PLP108" s="73"/>
      <c r="PLQ108" s="74"/>
      <c r="PLS108" s="75"/>
      <c r="PLV108" s="75"/>
      <c r="PLW108" s="72"/>
      <c r="PLX108" s="68"/>
      <c r="PLY108" s="1"/>
      <c r="PLZ108" s="73"/>
      <c r="PMA108" s="74"/>
      <c r="PMC108" s="75"/>
      <c r="PMF108" s="75"/>
      <c r="PMG108" s="72"/>
      <c r="PMH108" s="68"/>
      <c r="PMI108" s="1"/>
      <c r="PMJ108" s="73"/>
      <c r="PMK108" s="74"/>
      <c r="PMM108" s="75"/>
      <c r="PMP108" s="75"/>
      <c r="PMQ108" s="72"/>
      <c r="PMR108" s="68"/>
      <c r="PMS108" s="1"/>
      <c r="PMT108" s="73"/>
      <c r="PMU108" s="74"/>
      <c r="PMW108" s="75"/>
      <c r="PMZ108" s="75"/>
      <c r="PNA108" s="72"/>
      <c r="PNB108" s="68"/>
      <c r="PNC108" s="1"/>
      <c r="PND108" s="73"/>
      <c r="PNE108" s="74"/>
      <c r="PNG108" s="75"/>
      <c r="PNJ108" s="75"/>
      <c r="PNK108" s="72"/>
      <c r="PNL108" s="68"/>
      <c r="PNM108" s="1"/>
      <c r="PNN108" s="73"/>
      <c r="PNO108" s="74"/>
      <c r="PNQ108" s="75"/>
      <c r="PNT108" s="75"/>
      <c r="PNU108" s="72"/>
      <c r="PNV108" s="68"/>
      <c r="PNW108" s="1"/>
      <c r="PNX108" s="73"/>
      <c r="PNY108" s="74"/>
      <c r="POA108" s="75"/>
      <c r="POD108" s="75"/>
      <c r="POE108" s="72"/>
      <c r="POF108" s="68"/>
      <c r="POG108" s="1"/>
      <c r="POH108" s="73"/>
      <c r="POI108" s="74"/>
      <c r="POK108" s="75"/>
      <c r="PON108" s="75"/>
      <c r="POO108" s="72"/>
      <c r="POP108" s="68"/>
      <c r="POQ108" s="1"/>
      <c r="POR108" s="73"/>
      <c r="POS108" s="74"/>
      <c r="POU108" s="75"/>
      <c r="POX108" s="75"/>
      <c r="POY108" s="72"/>
      <c r="POZ108" s="68"/>
      <c r="PPA108" s="1"/>
      <c r="PPB108" s="73"/>
      <c r="PPC108" s="74"/>
      <c r="PPE108" s="75"/>
      <c r="PPH108" s="75"/>
      <c r="PPI108" s="72"/>
      <c r="PPJ108" s="68"/>
      <c r="PPK108" s="1"/>
      <c r="PPL108" s="73"/>
      <c r="PPM108" s="74"/>
      <c r="PPO108" s="75"/>
      <c r="PPR108" s="75"/>
      <c r="PPS108" s="72"/>
      <c r="PPT108" s="68"/>
      <c r="PPU108" s="1"/>
      <c r="PPV108" s="73"/>
      <c r="PPW108" s="74"/>
      <c r="PPY108" s="75"/>
      <c r="PQB108" s="75"/>
      <c r="PQC108" s="72"/>
      <c r="PQD108" s="68"/>
      <c r="PQE108" s="1"/>
      <c r="PQF108" s="73"/>
      <c r="PQG108" s="74"/>
      <c r="PQI108" s="75"/>
      <c r="PQL108" s="75"/>
      <c r="PQM108" s="72"/>
      <c r="PQN108" s="68"/>
      <c r="PQO108" s="1"/>
      <c r="PQP108" s="73"/>
      <c r="PQQ108" s="74"/>
      <c r="PQS108" s="75"/>
      <c r="PQV108" s="75"/>
      <c r="PQW108" s="72"/>
      <c r="PQX108" s="68"/>
      <c r="PQY108" s="1"/>
      <c r="PQZ108" s="73"/>
      <c r="PRA108" s="74"/>
      <c r="PRC108" s="75"/>
      <c r="PRF108" s="75"/>
      <c r="PRG108" s="72"/>
      <c r="PRH108" s="68"/>
      <c r="PRI108" s="1"/>
      <c r="PRJ108" s="73"/>
      <c r="PRK108" s="74"/>
      <c r="PRM108" s="75"/>
      <c r="PRP108" s="75"/>
      <c r="PRQ108" s="72"/>
      <c r="PRR108" s="68"/>
      <c r="PRS108" s="1"/>
      <c r="PRT108" s="73"/>
      <c r="PRU108" s="74"/>
      <c r="PRW108" s="75"/>
      <c r="PRZ108" s="75"/>
      <c r="PSA108" s="72"/>
      <c r="PSB108" s="68"/>
      <c r="PSC108" s="1"/>
      <c r="PSD108" s="73"/>
      <c r="PSE108" s="74"/>
      <c r="PSG108" s="75"/>
      <c r="PSJ108" s="75"/>
      <c r="PSK108" s="72"/>
      <c r="PSL108" s="68"/>
      <c r="PSM108" s="1"/>
      <c r="PSN108" s="73"/>
      <c r="PSO108" s="74"/>
      <c r="PSQ108" s="75"/>
      <c r="PST108" s="75"/>
      <c r="PSU108" s="72"/>
      <c r="PSV108" s="68"/>
      <c r="PSW108" s="1"/>
      <c r="PSX108" s="73"/>
      <c r="PSY108" s="74"/>
      <c r="PTA108" s="75"/>
      <c r="PTD108" s="75"/>
      <c r="PTE108" s="72"/>
      <c r="PTF108" s="68"/>
      <c r="PTG108" s="1"/>
      <c r="PTH108" s="73"/>
      <c r="PTI108" s="74"/>
      <c r="PTK108" s="75"/>
      <c r="PTN108" s="75"/>
      <c r="PTO108" s="72"/>
      <c r="PTP108" s="68"/>
      <c r="PTQ108" s="1"/>
      <c r="PTR108" s="73"/>
      <c r="PTS108" s="74"/>
      <c r="PTU108" s="75"/>
      <c r="PTX108" s="75"/>
      <c r="PTY108" s="72"/>
      <c r="PTZ108" s="68"/>
      <c r="PUA108" s="1"/>
      <c r="PUB108" s="73"/>
      <c r="PUC108" s="74"/>
      <c r="PUE108" s="75"/>
      <c r="PUH108" s="75"/>
      <c r="PUI108" s="72"/>
      <c r="PUJ108" s="68"/>
      <c r="PUK108" s="1"/>
      <c r="PUL108" s="73"/>
      <c r="PUM108" s="74"/>
      <c r="PUO108" s="75"/>
      <c r="PUR108" s="75"/>
      <c r="PUS108" s="72"/>
      <c r="PUT108" s="68"/>
      <c r="PUU108" s="1"/>
      <c r="PUV108" s="73"/>
      <c r="PUW108" s="74"/>
      <c r="PUY108" s="75"/>
      <c r="PVB108" s="75"/>
      <c r="PVC108" s="72"/>
      <c r="PVD108" s="68"/>
      <c r="PVE108" s="1"/>
      <c r="PVF108" s="73"/>
      <c r="PVG108" s="74"/>
      <c r="PVI108" s="75"/>
      <c r="PVL108" s="75"/>
      <c r="PVM108" s="72"/>
      <c r="PVN108" s="68"/>
      <c r="PVO108" s="1"/>
      <c r="PVP108" s="73"/>
      <c r="PVQ108" s="74"/>
      <c r="PVS108" s="75"/>
      <c r="PVV108" s="75"/>
      <c r="PVW108" s="72"/>
      <c r="PVX108" s="68"/>
      <c r="PVY108" s="1"/>
      <c r="PVZ108" s="73"/>
      <c r="PWA108" s="74"/>
      <c r="PWC108" s="75"/>
      <c r="PWF108" s="75"/>
      <c r="PWG108" s="72"/>
      <c r="PWH108" s="68"/>
      <c r="PWI108" s="1"/>
      <c r="PWJ108" s="73"/>
      <c r="PWK108" s="74"/>
      <c r="PWM108" s="75"/>
      <c r="PWP108" s="75"/>
      <c r="PWQ108" s="72"/>
      <c r="PWR108" s="68"/>
      <c r="PWS108" s="1"/>
      <c r="PWT108" s="73"/>
      <c r="PWU108" s="74"/>
      <c r="PWW108" s="75"/>
      <c r="PWZ108" s="75"/>
      <c r="PXA108" s="72"/>
      <c r="PXB108" s="68"/>
      <c r="PXC108" s="1"/>
      <c r="PXD108" s="73"/>
      <c r="PXE108" s="74"/>
      <c r="PXG108" s="75"/>
      <c r="PXJ108" s="75"/>
      <c r="PXK108" s="72"/>
      <c r="PXL108" s="68"/>
      <c r="PXM108" s="1"/>
      <c r="PXN108" s="73"/>
      <c r="PXO108" s="74"/>
      <c r="PXQ108" s="75"/>
      <c r="PXT108" s="75"/>
      <c r="PXU108" s="72"/>
      <c r="PXV108" s="68"/>
      <c r="PXW108" s="1"/>
      <c r="PXX108" s="73"/>
      <c r="PXY108" s="74"/>
      <c r="PYA108" s="75"/>
      <c r="PYD108" s="75"/>
      <c r="PYE108" s="72"/>
      <c r="PYF108" s="68"/>
      <c r="PYG108" s="1"/>
      <c r="PYH108" s="73"/>
      <c r="PYI108" s="74"/>
      <c r="PYK108" s="75"/>
      <c r="PYN108" s="75"/>
      <c r="PYO108" s="72"/>
      <c r="PYP108" s="68"/>
      <c r="PYQ108" s="1"/>
      <c r="PYR108" s="73"/>
      <c r="PYS108" s="74"/>
      <c r="PYU108" s="75"/>
      <c r="PYX108" s="75"/>
      <c r="PYY108" s="72"/>
      <c r="PYZ108" s="68"/>
      <c r="PZA108" s="1"/>
      <c r="PZB108" s="73"/>
      <c r="PZC108" s="74"/>
      <c r="PZE108" s="75"/>
      <c r="PZH108" s="75"/>
      <c r="PZI108" s="72"/>
      <c r="PZJ108" s="68"/>
      <c r="PZK108" s="1"/>
      <c r="PZL108" s="73"/>
      <c r="PZM108" s="74"/>
      <c r="PZO108" s="75"/>
      <c r="PZR108" s="75"/>
      <c r="PZS108" s="72"/>
      <c r="PZT108" s="68"/>
      <c r="PZU108" s="1"/>
      <c r="PZV108" s="73"/>
      <c r="PZW108" s="74"/>
      <c r="PZY108" s="75"/>
      <c r="QAB108" s="75"/>
      <c r="QAC108" s="72"/>
      <c r="QAD108" s="68"/>
      <c r="QAE108" s="1"/>
      <c r="QAF108" s="73"/>
      <c r="QAG108" s="74"/>
      <c r="QAI108" s="75"/>
      <c r="QAL108" s="75"/>
      <c r="QAM108" s="72"/>
      <c r="QAN108" s="68"/>
      <c r="QAO108" s="1"/>
      <c r="QAP108" s="73"/>
      <c r="QAQ108" s="74"/>
      <c r="QAS108" s="75"/>
      <c r="QAV108" s="75"/>
      <c r="QAW108" s="72"/>
      <c r="QAX108" s="68"/>
      <c r="QAY108" s="1"/>
      <c r="QAZ108" s="73"/>
      <c r="QBA108" s="74"/>
      <c r="QBC108" s="75"/>
      <c r="QBF108" s="75"/>
      <c r="QBG108" s="72"/>
      <c r="QBH108" s="68"/>
      <c r="QBI108" s="1"/>
      <c r="QBJ108" s="73"/>
      <c r="QBK108" s="74"/>
      <c r="QBM108" s="75"/>
      <c r="QBP108" s="75"/>
      <c r="QBQ108" s="72"/>
      <c r="QBR108" s="68"/>
      <c r="QBS108" s="1"/>
      <c r="QBT108" s="73"/>
      <c r="QBU108" s="74"/>
      <c r="QBW108" s="75"/>
      <c r="QBZ108" s="75"/>
      <c r="QCA108" s="72"/>
      <c r="QCB108" s="68"/>
      <c r="QCC108" s="1"/>
      <c r="QCD108" s="73"/>
      <c r="QCE108" s="74"/>
      <c r="QCG108" s="75"/>
      <c r="QCJ108" s="75"/>
      <c r="QCK108" s="72"/>
      <c r="QCL108" s="68"/>
      <c r="QCM108" s="1"/>
      <c r="QCN108" s="73"/>
      <c r="QCO108" s="74"/>
      <c r="QCQ108" s="75"/>
      <c r="QCT108" s="75"/>
      <c r="QCU108" s="72"/>
      <c r="QCV108" s="68"/>
      <c r="QCW108" s="1"/>
      <c r="QCX108" s="73"/>
      <c r="QCY108" s="74"/>
      <c r="QDA108" s="75"/>
      <c r="QDD108" s="75"/>
      <c r="QDE108" s="72"/>
      <c r="QDF108" s="68"/>
      <c r="QDG108" s="1"/>
      <c r="QDH108" s="73"/>
      <c r="QDI108" s="74"/>
      <c r="QDK108" s="75"/>
      <c r="QDN108" s="75"/>
      <c r="QDO108" s="72"/>
      <c r="QDP108" s="68"/>
      <c r="QDQ108" s="1"/>
      <c r="QDR108" s="73"/>
      <c r="QDS108" s="74"/>
      <c r="QDU108" s="75"/>
      <c r="QDX108" s="75"/>
      <c r="QDY108" s="72"/>
      <c r="QDZ108" s="68"/>
      <c r="QEA108" s="1"/>
      <c r="QEB108" s="73"/>
      <c r="QEC108" s="74"/>
      <c r="QEE108" s="75"/>
      <c r="QEH108" s="75"/>
      <c r="QEI108" s="72"/>
      <c r="QEJ108" s="68"/>
      <c r="QEK108" s="1"/>
      <c r="QEL108" s="73"/>
      <c r="QEM108" s="74"/>
      <c r="QEO108" s="75"/>
      <c r="QER108" s="75"/>
      <c r="QES108" s="72"/>
      <c r="QET108" s="68"/>
      <c r="QEU108" s="1"/>
      <c r="QEV108" s="73"/>
      <c r="QEW108" s="74"/>
      <c r="QEY108" s="75"/>
      <c r="QFB108" s="75"/>
      <c r="QFC108" s="72"/>
      <c r="QFD108" s="68"/>
      <c r="QFE108" s="1"/>
      <c r="QFF108" s="73"/>
      <c r="QFG108" s="74"/>
      <c r="QFI108" s="75"/>
      <c r="QFL108" s="75"/>
      <c r="QFM108" s="72"/>
      <c r="QFN108" s="68"/>
      <c r="QFO108" s="1"/>
      <c r="QFP108" s="73"/>
      <c r="QFQ108" s="74"/>
      <c r="QFS108" s="75"/>
      <c r="QFV108" s="75"/>
      <c r="QFW108" s="72"/>
      <c r="QFX108" s="68"/>
      <c r="QFY108" s="1"/>
      <c r="QFZ108" s="73"/>
      <c r="QGA108" s="74"/>
      <c r="QGC108" s="75"/>
      <c r="QGF108" s="75"/>
      <c r="QGG108" s="72"/>
      <c r="QGH108" s="68"/>
      <c r="QGI108" s="1"/>
      <c r="QGJ108" s="73"/>
      <c r="QGK108" s="74"/>
      <c r="QGM108" s="75"/>
      <c r="QGP108" s="75"/>
      <c r="QGQ108" s="72"/>
      <c r="QGR108" s="68"/>
      <c r="QGS108" s="1"/>
      <c r="QGT108" s="73"/>
      <c r="QGU108" s="74"/>
      <c r="QGW108" s="75"/>
      <c r="QGZ108" s="75"/>
      <c r="QHA108" s="72"/>
      <c r="QHB108" s="68"/>
      <c r="QHC108" s="1"/>
      <c r="QHD108" s="73"/>
      <c r="QHE108" s="74"/>
      <c r="QHG108" s="75"/>
      <c r="QHJ108" s="75"/>
      <c r="QHK108" s="72"/>
      <c r="QHL108" s="68"/>
      <c r="QHM108" s="1"/>
      <c r="QHN108" s="73"/>
      <c r="QHO108" s="74"/>
      <c r="QHQ108" s="75"/>
      <c r="QHT108" s="75"/>
      <c r="QHU108" s="72"/>
      <c r="QHV108" s="68"/>
      <c r="QHW108" s="1"/>
      <c r="QHX108" s="73"/>
      <c r="QHY108" s="74"/>
      <c r="QIA108" s="75"/>
      <c r="QID108" s="75"/>
      <c r="QIE108" s="72"/>
      <c r="QIF108" s="68"/>
      <c r="QIG108" s="1"/>
      <c r="QIH108" s="73"/>
      <c r="QII108" s="74"/>
      <c r="QIK108" s="75"/>
      <c r="QIN108" s="75"/>
      <c r="QIO108" s="72"/>
      <c r="QIP108" s="68"/>
      <c r="QIQ108" s="1"/>
      <c r="QIR108" s="73"/>
      <c r="QIS108" s="74"/>
      <c r="QIU108" s="75"/>
      <c r="QIX108" s="75"/>
      <c r="QIY108" s="72"/>
      <c r="QIZ108" s="68"/>
      <c r="QJA108" s="1"/>
      <c r="QJB108" s="73"/>
      <c r="QJC108" s="74"/>
      <c r="QJE108" s="75"/>
      <c r="QJH108" s="75"/>
      <c r="QJI108" s="72"/>
      <c r="QJJ108" s="68"/>
      <c r="QJK108" s="1"/>
      <c r="QJL108" s="73"/>
      <c r="QJM108" s="74"/>
      <c r="QJO108" s="75"/>
      <c r="QJR108" s="75"/>
      <c r="QJS108" s="72"/>
      <c r="QJT108" s="68"/>
      <c r="QJU108" s="1"/>
      <c r="QJV108" s="73"/>
      <c r="QJW108" s="74"/>
      <c r="QJY108" s="75"/>
      <c r="QKB108" s="75"/>
      <c r="QKC108" s="72"/>
      <c r="QKD108" s="68"/>
      <c r="QKE108" s="1"/>
      <c r="QKF108" s="73"/>
      <c r="QKG108" s="74"/>
      <c r="QKI108" s="75"/>
      <c r="QKL108" s="75"/>
      <c r="QKM108" s="72"/>
      <c r="QKN108" s="68"/>
      <c r="QKO108" s="1"/>
      <c r="QKP108" s="73"/>
      <c r="QKQ108" s="74"/>
      <c r="QKS108" s="75"/>
      <c r="QKV108" s="75"/>
      <c r="QKW108" s="72"/>
      <c r="QKX108" s="68"/>
      <c r="QKY108" s="1"/>
      <c r="QKZ108" s="73"/>
      <c r="QLA108" s="74"/>
      <c r="QLC108" s="75"/>
      <c r="QLF108" s="75"/>
      <c r="QLG108" s="72"/>
      <c r="QLH108" s="68"/>
      <c r="QLI108" s="1"/>
      <c r="QLJ108" s="73"/>
      <c r="QLK108" s="74"/>
      <c r="QLM108" s="75"/>
      <c r="QLP108" s="75"/>
      <c r="QLQ108" s="72"/>
      <c r="QLR108" s="68"/>
      <c r="QLS108" s="1"/>
      <c r="QLT108" s="73"/>
      <c r="QLU108" s="74"/>
      <c r="QLW108" s="75"/>
      <c r="QLZ108" s="75"/>
      <c r="QMA108" s="72"/>
      <c r="QMB108" s="68"/>
      <c r="QMC108" s="1"/>
      <c r="QMD108" s="73"/>
      <c r="QME108" s="74"/>
      <c r="QMG108" s="75"/>
      <c r="QMJ108" s="75"/>
      <c r="QMK108" s="72"/>
      <c r="QML108" s="68"/>
      <c r="QMM108" s="1"/>
      <c r="QMN108" s="73"/>
      <c r="QMO108" s="74"/>
      <c r="QMQ108" s="75"/>
      <c r="QMT108" s="75"/>
      <c r="QMU108" s="72"/>
      <c r="QMV108" s="68"/>
      <c r="QMW108" s="1"/>
      <c r="QMX108" s="73"/>
      <c r="QMY108" s="74"/>
      <c r="QNA108" s="75"/>
      <c r="QND108" s="75"/>
      <c r="QNE108" s="72"/>
      <c r="QNF108" s="68"/>
      <c r="QNG108" s="1"/>
      <c r="QNH108" s="73"/>
      <c r="QNI108" s="74"/>
      <c r="QNK108" s="75"/>
      <c r="QNN108" s="75"/>
      <c r="QNO108" s="72"/>
      <c r="QNP108" s="68"/>
      <c r="QNQ108" s="1"/>
      <c r="QNR108" s="73"/>
      <c r="QNS108" s="74"/>
      <c r="QNU108" s="75"/>
      <c r="QNX108" s="75"/>
      <c r="QNY108" s="72"/>
      <c r="QNZ108" s="68"/>
      <c r="QOA108" s="1"/>
      <c r="QOB108" s="73"/>
      <c r="QOC108" s="74"/>
      <c r="QOE108" s="75"/>
      <c r="QOH108" s="75"/>
      <c r="QOI108" s="72"/>
      <c r="QOJ108" s="68"/>
      <c r="QOK108" s="1"/>
      <c r="QOL108" s="73"/>
      <c r="QOM108" s="74"/>
      <c r="QOO108" s="75"/>
      <c r="QOR108" s="75"/>
      <c r="QOS108" s="72"/>
      <c r="QOT108" s="68"/>
      <c r="QOU108" s="1"/>
      <c r="QOV108" s="73"/>
      <c r="QOW108" s="74"/>
      <c r="QOY108" s="75"/>
      <c r="QPB108" s="75"/>
      <c r="QPC108" s="72"/>
      <c r="QPD108" s="68"/>
      <c r="QPE108" s="1"/>
      <c r="QPF108" s="73"/>
      <c r="QPG108" s="74"/>
      <c r="QPI108" s="75"/>
      <c r="QPL108" s="75"/>
      <c r="QPM108" s="72"/>
      <c r="QPN108" s="68"/>
      <c r="QPO108" s="1"/>
      <c r="QPP108" s="73"/>
      <c r="QPQ108" s="74"/>
      <c r="QPS108" s="75"/>
      <c r="QPV108" s="75"/>
      <c r="QPW108" s="72"/>
      <c r="QPX108" s="68"/>
      <c r="QPY108" s="1"/>
      <c r="QPZ108" s="73"/>
      <c r="QQA108" s="74"/>
      <c r="QQC108" s="75"/>
      <c r="QQF108" s="75"/>
      <c r="QQG108" s="72"/>
      <c r="QQH108" s="68"/>
      <c r="QQI108" s="1"/>
      <c r="QQJ108" s="73"/>
      <c r="QQK108" s="74"/>
      <c r="QQM108" s="75"/>
      <c r="QQP108" s="75"/>
      <c r="QQQ108" s="72"/>
      <c r="QQR108" s="68"/>
      <c r="QQS108" s="1"/>
      <c r="QQT108" s="73"/>
      <c r="QQU108" s="74"/>
      <c r="QQW108" s="75"/>
      <c r="QQZ108" s="75"/>
      <c r="QRA108" s="72"/>
      <c r="QRB108" s="68"/>
      <c r="QRC108" s="1"/>
      <c r="QRD108" s="73"/>
      <c r="QRE108" s="74"/>
      <c r="QRG108" s="75"/>
      <c r="QRJ108" s="75"/>
      <c r="QRK108" s="72"/>
      <c r="QRL108" s="68"/>
      <c r="QRM108" s="1"/>
      <c r="QRN108" s="73"/>
      <c r="QRO108" s="74"/>
      <c r="QRQ108" s="75"/>
      <c r="QRT108" s="75"/>
      <c r="QRU108" s="72"/>
      <c r="QRV108" s="68"/>
      <c r="QRW108" s="1"/>
      <c r="QRX108" s="73"/>
      <c r="QRY108" s="74"/>
      <c r="QSA108" s="75"/>
      <c r="QSD108" s="75"/>
      <c r="QSE108" s="72"/>
      <c r="QSF108" s="68"/>
      <c r="QSG108" s="1"/>
      <c r="QSH108" s="73"/>
      <c r="QSI108" s="74"/>
      <c r="QSK108" s="75"/>
      <c r="QSN108" s="75"/>
      <c r="QSO108" s="72"/>
      <c r="QSP108" s="68"/>
      <c r="QSQ108" s="1"/>
      <c r="QSR108" s="73"/>
      <c r="QSS108" s="74"/>
      <c r="QSU108" s="75"/>
      <c r="QSX108" s="75"/>
      <c r="QSY108" s="72"/>
      <c r="QSZ108" s="68"/>
      <c r="QTA108" s="1"/>
      <c r="QTB108" s="73"/>
      <c r="QTC108" s="74"/>
      <c r="QTE108" s="75"/>
      <c r="QTH108" s="75"/>
      <c r="QTI108" s="72"/>
      <c r="QTJ108" s="68"/>
      <c r="QTK108" s="1"/>
      <c r="QTL108" s="73"/>
      <c r="QTM108" s="74"/>
      <c r="QTO108" s="75"/>
      <c r="QTR108" s="75"/>
      <c r="QTS108" s="72"/>
      <c r="QTT108" s="68"/>
      <c r="QTU108" s="1"/>
      <c r="QTV108" s="73"/>
      <c r="QTW108" s="74"/>
      <c r="QTY108" s="75"/>
      <c r="QUB108" s="75"/>
      <c r="QUC108" s="72"/>
      <c r="QUD108" s="68"/>
      <c r="QUE108" s="1"/>
      <c r="QUF108" s="73"/>
      <c r="QUG108" s="74"/>
      <c r="QUI108" s="75"/>
      <c r="QUL108" s="75"/>
      <c r="QUM108" s="72"/>
      <c r="QUN108" s="68"/>
      <c r="QUO108" s="1"/>
      <c r="QUP108" s="73"/>
      <c r="QUQ108" s="74"/>
      <c r="QUS108" s="75"/>
      <c r="QUV108" s="75"/>
      <c r="QUW108" s="72"/>
      <c r="QUX108" s="68"/>
      <c r="QUY108" s="1"/>
      <c r="QUZ108" s="73"/>
      <c r="QVA108" s="74"/>
      <c r="QVC108" s="75"/>
      <c r="QVF108" s="75"/>
      <c r="QVG108" s="72"/>
      <c r="QVH108" s="68"/>
      <c r="QVI108" s="1"/>
      <c r="QVJ108" s="73"/>
      <c r="QVK108" s="74"/>
      <c r="QVM108" s="75"/>
      <c r="QVP108" s="75"/>
      <c r="QVQ108" s="72"/>
      <c r="QVR108" s="68"/>
      <c r="QVS108" s="1"/>
      <c r="QVT108" s="73"/>
      <c r="QVU108" s="74"/>
      <c r="QVW108" s="75"/>
      <c r="QVZ108" s="75"/>
      <c r="QWA108" s="72"/>
      <c r="QWB108" s="68"/>
      <c r="QWC108" s="1"/>
      <c r="QWD108" s="73"/>
      <c r="QWE108" s="74"/>
      <c r="QWG108" s="75"/>
      <c r="QWJ108" s="75"/>
      <c r="QWK108" s="72"/>
      <c r="QWL108" s="68"/>
      <c r="QWM108" s="1"/>
      <c r="QWN108" s="73"/>
      <c r="QWO108" s="74"/>
      <c r="QWQ108" s="75"/>
      <c r="QWT108" s="75"/>
      <c r="QWU108" s="72"/>
      <c r="QWV108" s="68"/>
      <c r="QWW108" s="1"/>
      <c r="QWX108" s="73"/>
      <c r="QWY108" s="74"/>
      <c r="QXA108" s="75"/>
      <c r="QXD108" s="75"/>
      <c r="QXE108" s="72"/>
      <c r="QXF108" s="68"/>
      <c r="QXG108" s="1"/>
      <c r="QXH108" s="73"/>
      <c r="QXI108" s="74"/>
      <c r="QXK108" s="75"/>
      <c r="QXN108" s="75"/>
      <c r="QXO108" s="72"/>
      <c r="QXP108" s="68"/>
      <c r="QXQ108" s="1"/>
      <c r="QXR108" s="73"/>
      <c r="QXS108" s="74"/>
      <c r="QXU108" s="75"/>
      <c r="QXX108" s="75"/>
      <c r="QXY108" s="72"/>
      <c r="QXZ108" s="68"/>
      <c r="QYA108" s="1"/>
      <c r="QYB108" s="73"/>
      <c r="QYC108" s="74"/>
      <c r="QYE108" s="75"/>
      <c r="QYH108" s="75"/>
      <c r="QYI108" s="72"/>
      <c r="QYJ108" s="68"/>
      <c r="QYK108" s="1"/>
      <c r="QYL108" s="73"/>
      <c r="QYM108" s="74"/>
      <c r="QYO108" s="75"/>
      <c r="QYR108" s="75"/>
      <c r="QYS108" s="72"/>
      <c r="QYT108" s="68"/>
      <c r="QYU108" s="1"/>
      <c r="QYV108" s="73"/>
      <c r="QYW108" s="74"/>
      <c r="QYY108" s="75"/>
      <c r="QZB108" s="75"/>
      <c r="QZC108" s="72"/>
      <c r="QZD108" s="68"/>
      <c r="QZE108" s="1"/>
      <c r="QZF108" s="73"/>
      <c r="QZG108" s="74"/>
      <c r="QZI108" s="75"/>
      <c r="QZL108" s="75"/>
      <c r="QZM108" s="72"/>
      <c r="QZN108" s="68"/>
      <c r="QZO108" s="1"/>
      <c r="QZP108" s="73"/>
      <c r="QZQ108" s="74"/>
      <c r="QZS108" s="75"/>
      <c r="QZV108" s="75"/>
      <c r="QZW108" s="72"/>
      <c r="QZX108" s="68"/>
      <c r="QZY108" s="1"/>
      <c r="QZZ108" s="73"/>
      <c r="RAA108" s="74"/>
      <c r="RAC108" s="75"/>
      <c r="RAF108" s="75"/>
      <c r="RAG108" s="72"/>
      <c r="RAH108" s="68"/>
      <c r="RAI108" s="1"/>
      <c r="RAJ108" s="73"/>
      <c r="RAK108" s="74"/>
      <c r="RAM108" s="75"/>
      <c r="RAP108" s="75"/>
      <c r="RAQ108" s="72"/>
      <c r="RAR108" s="68"/>
      <c r="RAS108" s="1"/>
      <c r="RAT108" s="73"/>
      <c r="RAU108" s="74"/>
      <c r="RAW108" s="75"/>
      <c r="RAZ108" s="75"/>
      <c r="RBA108" s="72"/>
      <c r="RBB108" s="68"/>
      <c r="RBC108" s="1"/>
      <c r="RBD108" s="73"/>
      <c r="RBE108" s="74"/>
      <c r="RBG108" s="75"/>
      <c r="RBJ108" s="75"/>
      <c r="RBK108" s="72"/>
      <c r="RBL108" s="68"/>
      <c r="RBM108" s="1"/>
      <c r="RBN108" s="73"/>
      <c r="RBO108" s="74"/>
      <c r="RBQ108" s="75"/>
      <c r="RBT108" s="75"/>
      <c r="RBU108" s="72"/>
      <c r="RBV108" s="68"/>
      <c r="RBW108" s="1"/>
      <c r="RBX108" s="73"/>
      <c r="RBY108" s="74"/>
      <c r="RCA108" s="75"/>
      <c r="RCD108" s="75"/>
      <c r="RCE108" s="72"/>
      <c r="RCF108" s="68"/>
      <c r="RCG108" s="1"/>
      <c r="RCH108" s="73"/>
      <c r="RCI108" s="74"/>
      <c r="RCK108" s="75"/>
      <c r="RCN108" s="75"/>
      <c r="RCO108" s="72"/>
      <c r="RCP108" s="68"/>
      <c r="RCQ108" s="1"/>
      <c r="RCR108" s="73"/>
      <c r="RCS108" s="74"/>
      <c r="RCU108" s="75"/>
      <c r="RCX108" s="75"/>
      <c r="RCY108" s="72"/>
      <c r="RCZ108" s="68"/>
      <c r="RDA108" s="1"/>
      <c r="RDB108" s="73"/>
      <c r="RDC108" s="74"/>
      <c r="RDE108" s="75"/>
      <c r="RDH108" s="75"/>
      <c r="RDI108" s="72"/>
      <c r="RDJ108" s="68"/>
      <c r="RDK108" s="1"/>
      <c r="RDL108" s="73"/>
      <c r="RDM108" s="74"/>
      <c r="RDO108" s="75"/>
      <c r="RDR108" s="75"/>
      <c r="RDS108" s="72"/>
      <c r="RDT108" s="68"/>
      <c r="RDU108" s="1"/>
      <c r="RDV108" s="73"/>
      <c r="RDW108" s="74"/>
      <c r="RDY108" s="75"/>
      <c r="REB108" s="75"/>
      <c r="REC108" s="72"/>
      <c r="RED108" s="68"/>
      <c r="REE108" s="1"/>
      <c r="REF108" s="73"/>
      <c r="REG108" s="74"/>
      <c r="REI108" s="75"/>
      <c r="REL108" s="75"/>
      <c r="REM108" s="72"/>
      <c r="REN108" s="68"/>
      <c r="REO108" s="1"/>
      <c r="REP108" s="73"/>
      <c r="REQ108" s="74"/>
      <c r="RES108" s="75"/>
      <c r="REV108" s="75"/>
      <c r="REW108" s="72"/>
      <c r="REX108" s="68"/>
      <c r="REY108" s="1"/>
      <c r="REZ108" s="73"/>
      <c r="RFA108" s="74"/>
      <c r="RFC108" s="75"/>
      <c r="RFF108" s="75"/>
      <c r="RFG108" s="72"/>
      <c r="RFH108" s="68"/>
      <c r="RFI108" s="1"/>
      <c r="RFJ108" s="73"/>
      <c r="RFK108" s="74"/>
      <c r="RFM108" s="75"/>
      <c r="RFP108" s="75"/>
      <c r="RFQ108" s="72"/>
      <c r="RFR108" s="68"/>
      <c r="RFS108" s="1"/>
      <c r="RFT108" s="73"/>
      <c r="RFU108" s="74"/>
      <c r="RFW108" s="75"/>
      <c r="RFZ108" s="75"/>
      <c r="RGA108" s="72"/>
      <c r="RGB108" s="68"/>
      <c r="RGC108" s="1"/>
      <c r="RGD108" s="73"/>
      <c r="RGE108" s="74"/>
      <c r="RGG108" s="75"/>
      <c r="RGJ108" s="75"/>
      <c r="RGK108" s="72"/>
      <c r="RGL108" s="68"/>
      <c r="RGM108" s="1"/>
      <c r="RGN108" s="73"/>
      <c r="RGO108" s="74"/>
      <c r="RGQ108" s="75"/>
      <c r="RGT108" s="75"/>
      <c r="RGU108" s="72"/>
      <c r="RGV108" s="68"/>
      <c r="RGW108" s="1"/>
      <c r="RGX108" s="73"/>
      <c r="RGY108" s="74"/>
      <c r="RHA108" s="75"/>
      <c r="RHD108" s="75"/>
      <c r="RHE108" s="72"/>
      <c r="RHF108" s="68"/>
      <c r="RHG108" s="1"/>
      <c r="RHH108" s="73"/>
      <c r="RHI108" s="74"/>
      <c r="RHK108" s="75"/>
      <c r="RHN108" s="75"/>
      <c r="RHO108" s="72"/>
      <c r="RHP108" s="68"/>
      <c r="RHQ108" s="1"/>
      <c r="RHR108" s="73"/>
      <c r="RHS108" s="74"/>
      <c r="RHU108" s="75"/>
      <c r="RHX108" s="75"/>
      <c r="RHY108" s="72"/>
      <c r="RHZ108" s="68"/>
      <c r="RIA108" s="1"/>
      <c r="RIB108" s="73"/>
      <c r="RIC108" s="74"/>
      <c r="RIE108" s="75"/>
      <c r="RIH108" s="75"/>
      <c r="RII108" s="72"/>
      <c r="RIJ108" s="68"/>
      <c r="RIK108" s="1"/>
      <c r="RIL108" s="73"/>
      <c r="RIM108" s="74"/>
      <c r="RIO108" s="75"/>
      <c r="RIR108" s="75"/>
      <c r="RIS108" s="72"/>
      <c r="RIT108" s="68"/>
      <c r="RIU108" s="1"/>
      <c r="RIV108" s="73"/>
      <c r="RIW108" s="74"/>
      <c r="RIY108" s="75"/>
      <c r="RJB108" s="75"/>
      <c r="RJC108" s="72"/>
      <c r="RJD108" s="68"/>
      <c r="RJE108" s="1"/>
      <c r="RJF108" s="73"/>
      <c r="RJG108" s="74"/>
      <c r="RJI108" s="75"/>
      <c r="RJL108" s="75"/>
      <c r="RJM108" s="72"/>
      <c r="RJN108" s="68"/>
      <c r="RJO108" s="1"/>
      <c r="RJP108" s="73"/>
      <c r="RJQ108" s="74"/>
      <c r="RJS108" s="75"/>
      <c r="RJV108" s="75"/>
      <c r="RJW108" s="72"/>
      <c r="RJX108" s="68"/>
      <c r="RJY108" s="1"/>
      <c r="RJZ108" s="73"/>
      <c r="RKA108" s="74"/>
      <c r="RKC108" s="75"/>
      <c r="RKF108" s="75"/>
      <c r="RKG108" s="72"/>
      <c r="RKH108" s="68"/>
      <c r="RKI108" s="1"/>
      <c r="RKJ108" s="73"/>
      <c r="RKK108" s="74"/>
      <c r="RKM108" s="75"/>
      <c r="RKP108" s="75"/>
      <c r="RKQ108" s="72"/>
      <c r="RKR108" s="68"/>
      <c r="RKS108" s="1"/>
      <c r="RKT108" s="73"/>
      <c r="RKU108" s="74"/>
      <c r="RKW108" s="75"/>
      <c r="RKZ108" s="75"/>
      <c r="RLA108" s="72"/>
      <c r="RLB108" s="68"/>
      <c r="RLC108" s="1"/>
      <c r="RLD108" s="73"/>
      <c r="RLE108" s="74"/>
      <c r="RLG108" s="75"/>
      <c r="RLJ108" s="75"/>
      <c r="RLK108" s="72"/>
      <c r="RLL108" s="68"/>
      <c r="RLM108" s="1"/>
      <c r="RLN108" s="73"/>
      <c r="RLO108" s="74"/>
      <c r="RLQ108" s="75"/>
      <c r="RLT108" s="75"/>
      <c r="RLU108" s="72"/>
      <c r="RLV108" s="68"/>
      <c r="RLW108" s="1"/>
      <c r="RLX108" s="73"/>
      <c r="RLY108" s="74"/>
      <c r="RMA108" s="75"/>
      <c r="RMD108" s="75"/>
      <c r="RME108" s="72"/>
      <c r="RMF108" s="68"/>
      <c r="RMG108" s="1"/>
      <c r="RMH108" s="73"/>
      <c r="RMI108" s="74"/>
      <c r="RMK108" s="75"/>
      <c r="RMN108" s="75"/>
      <c r="RMO108" s="72"/>
      <c r="RMP108" s="68"/>
      <c r="RMQ108" s="1"/>
      <c r="RMR108" s="73"/>
      <c r="RMS108" s="74"/>
      <c r="RMU108" s="75"/>
      <c r="RMX108" s="75"/>
      <c r="RMY108" s="72"/>
      <c r="RMZ108" s="68"/>
      <c r="RNA108" s="1"/>
      <c r="RNB108" s="73"/>
      <c r="RNC108" s="74"/>
      <c r="RNE108" s="75"/>
      <c r="RNH108" s="75"/>
      <c r="RNI108" s="72"/>
      <c r="RNJ108" s="68"/>
      <c r="RNK108" s="1"/>
      <c r="RNL108" s="73"/>
      <c r="RNM108" s="74"/>
      <c r="RNO108" s="75"/>
      <c r="RNR108" s="75"/>
      <c r="RNS108" s="72"/>
      <c r="RNT108" s="68"/>
      <c r="RNU108" s="1"/>
      <c r="RNV108" s="73"/>
      <c r="RNW108" s="74"/>
      <c r="RNY108" s="75"/>
      <c r="ROB108" s="75"/>
      <c r="ROC108" s="72"/>
      <c r="ROD108" s="68"/>
      <c r="ROE108" s="1"/>
      <c r="ROF108" s="73"/>
      <c r="ROG108" s="74"/>
      <c r="ROI108" s="75"/>
      <c r="ROL108" s="75"/>
      <c r="ROM108" s="72"/>
      <c r="RON108" s="68"/>
      <c r="ROO108" s="1"/>
      <c r="ROP108" s="73"/>
      <c r="ROQ108" s="74"/>
      <c r="ROS108" s="75"/>
      <c r="ROV108" s="75"/>
      <c r="ROW108" s="72"/>
      <c r="ROX108" s="68"/>
      <c r="ROY108" s="1"/>
      <c r="ROZ108" s="73"/>
      <c r="RPA108" s="74"/>
      <c r="RPC108" s="75"/>
      <c r="RPF108" s="75"/>
      <c r="RPG108" s="72"/>
      <c r="RPH108" s="68"/>
      <c r="RPI108" s="1"/>
      <c r="RPJ108" s="73"/>
      <c r="RPK108" s="74"/>
      <c r="RPM108" s="75"/>
      <c r="RPP108" s="75"/>
      <c r="RPQ108" s="72"/>
      <c r="RPR108" s="68"/>
      <c r="RPS108" s="1"/>
      <c r="RPT108" s="73"/>
      <c r="RPU108" s="74"/>
      <c r="RPW108" s="75"/>
      <c r="RPZ108" s="75"/>
      <c r="RQA108" s="72"/>
      <c r="RQB108" s="68"/>
      <c r="RQC108" s="1"/>
      <c r="RQD108" s="73"/>
      <c r="RQE108" s="74"/>
      <c r="RQG108" s="75"/>
      <c r="RQJ108" s="75"/>
      <c r="RQK108" s="72"/>
      <c r="RQL108" s="68"/>
      <c r="RQM108" s="1"/>
      <c r="RQN108" s="73"/>
      <c r="RQO108" s="74"/>
      <c r="RQQ108" s="75"/>
      <c r="RQT108" s="75"/>
      <c r="RQU108" s="72"/>
      <c r="RQV108" s="68"/>
      <c r="RQW108" s="1"/>
      <c r="RQX108" s="73"/>
      <c r="RQY108" s="74"/>
      <c r="RRA108" s="75"/>
      <c r="RRD108" s="75"/>
      <c r="RRE108" s="72"/>
      <c r="RRF108" s="68"/>
      <c r="RRG108" s="1"/>
      <c r="RRH108" s="73"/>
      <c r="RRI108" s="74"/>
      <c r="RRK108" s="75"/>
      <c r="RRN108" s="75"/>
      <c r="RRO108" s="72"/>
      <c r="RRP108" s="68"/>
      <c r="RRQ108" s="1"/>
      <c r="RRR108" s="73"/>
      <c r="RRS108" s="74"/>
      <c r="RRU108" s="75"/>
      <c r="RRX108" s="75"/>
      <c r="RRY108" s="72"/>
      <c r="RRZ108" s="68"/>
      <c r="RSA108" s="1"/>
      <c r="RSB108" s="73"/>
      <c r="RSC108" s="74"/>
      <c r="RSE108" s="75"/>
      <c r="RSH108" s="75"/>
      <c r="RSI108" s="72"/>
      <c r="RSJ108" s="68"/>
      <c r="RSK108" s="1"/>
      <c r="RSL108" s="73"/>
      <c r="RSM108" s="74"/>
      <c r="RSO108" s="75"/>
      <c r="RSR108" s="75"/>
      <c r="RSS108" s="72"/>
      <c r="RST108" s="68"/>
      <c r="RSU108" s="1"/>
      <c r="RSV108" s="73"/>
      <c r="RSW108" s="74"/>
      <c r="RSY108" s="75"/>
      <c r="RTB108" s="75"/>
      <c r="RTC108" s="72"/>
      <c r="RTD108" s="68"/>
      <c r="RTE108" s="1"/>
      <c r="RTF108" s="73"/>
      <c r="RTG108" s="74"/>
      <c r="RTI108" s="75"/>
      <c r="RTL108" s="75"/>
      <c r="RTM108" s="72"/>
      <c r="RTN108" s="68"/>
      <c r="RTO108" s="1"/>
      <c r="RTP108" s="73"/>
      <c r="RTQ108" s="74"/>
      <c r="RTS108" s="75"/>
      <c r="RTV108" s="75"/>
      <c r="RTW108" s="72"/>
      <c r="RTX108" s="68"/>
      <c r="RTY108" s="1"/>
      <c r="RTZ108" s="73"/>
      <c r="RUA108" s="74"/>
      <c r="RUC108" s="75"/>
      <c r="RUF108" s="75"/>
      <c r="RUG108" s="72"/>
      <c r="RUH108" s="68"/>
      <c r="RUI108" s="1"/>
      <c r="RUJ108" s="73"/>
      <c r="RUK108" s="74"/>
      <c r="RUM108" s="75"/>
      <c r="RUP108" s="75"/>
      <c r="RUQ108" s="72"/>
      <c r="RUR108" s="68"/>
      <c r="RUS108" s="1"/>
      <c r="RUT108" s="73"/>
      <c r="RUU108" s="74"/>
      <c r="RUW108" s="75"/>
      <c r="RUZ108" s="75"/>
      <c r="RVA108" s="72"/>
      <c r="RVB108" s="68"/>
      <c r="RVC108" s="1"/>
      <c r="RVD108" s="73"/>
      <c r="RVE108" s="74"/>
      <c r="RVG108" s="75"/>
      <c r="RVJ108" s="75"/>
      <c r="RVK108" s="72"/>
      <c r="RVL108" s="68"/>
      <c r="RVM108" s="1"/>
      <c r="RVN108" s="73"/>
      <c r="RVO108" s="74"/>
      <c r="RVQ108" s="75"/>
      <c r="RVT108" s="75"/>
      <c r="RVU108" s="72"/>
      <c r="RVV108" s="68"/>
      <c r="RVW108" s="1"/>
      <c r="RVX108" s="73"/>
      <c r="RVY108" s="74"/>
      <c r="RWA108" s="75"/>
      <c r="RWD108" s="75"/>
      <c r="RWE108" s="72"/>
      <c r="RWF108" s="68"/>
      <c r="RWG108" s="1"/>
      <c r="RWH108" s="73"/>
      <c r="RWI108" s="74"/>
      <c r="RWK108" s="75"/>
      <c r="RWN108" s="75"/>
      <c r="RWO108" s="72"/>
      <c r="RWP108" s="68"/>
      <c r="RWQ108" s="1"/>
      <c r="RWR108" s="73"/>
      <c r="RWS108" s="74"/>
      <c r="RWU108" s="75"/>
      <c r="RWX108" s="75"/>
      <c r="RWY108" s="72"/>
      <c r="RWZ108" s="68"/>
      <c r="RXA108" s="1"/>
      <c r="RXB108" s="73"/>
      <c r="RXC108" s="74"/>
      <c r="RXE108" s="75"/>
      <c r="RXH108" s="75"/>
      <c r="RXI108" s="72"/>
      <c r="RXJ108" s="68"/>
      <c r="RXK108" s="1"/>
      <c r="RXL108" s="73"/>
      <c r="RXM108" s="74"/>
      <c r="RXO108" s="75"/>
      <c r="RXR108" s="75"/>
      <c r="RXS108" s="72"/>
      <c r="RXT108" s="68"/>
      <c r="RXU108" s="1"/>
      <c r="RXV108" s="73"/>
      <c r="RXW108" s="74"/>
      <c r="RXY108" s="75"/>
      <c r="RYB108" s="75"/>
      <c r="RYC108" s="72"/>
      <c r="RYD108" s="68"/>
      <c r="RYE108" s="1"/>
      <c r="RYF108" s="73"/>
      <c r="RYG108" s="74"/>
      <c r="RYI108" s="75"/>
      <c r="RYL108" s="75"/>
      <c r="RYM108" s="72"/>
      <c r="RYN108" s="68"/>
      <c r="RYO108" s="1"/>
      <c r="RYP108" s="73"/>
      <c r="RYQ108" s="74"/>
      <c r="RYS108" s="75"/>
      <c r="RYV108" s="75"/>
      <c r="RYW108" s="72"/>
      <c r="RYX108" s="68"/>
      <c r="RYY108" s="1"/>
      <c r="RYZ108" s="73"/>
      <c r="RZA108" s="74"/>
      <c r="RZC108" s="75"/>
      <c r="RZF108" s="75"/>
      <c r="RZG108" s="72"/>
      <c r="RZH108" s="68"/>
      <c r="RZI108" s="1"/>
      <c r="RZJ108" s="73"/>
      <c r="RZK108" s="74"/>
      <c r="RZM108" s="75"/>
      <c r="RZP108" s="75"/>
      <c r="RZQ108" s="72"/>
      <c r="RZR108" s="68"/>
      <c r="RZS108" s="1"/>
      <c r="RZT108" s="73"/>
      <c r="RZU108" s="74"/>
      <c r="RZW108" s="75"/>
      <c r="RZZ108" s="75"/>
      <c r="SAA108" s="72"/>
      <c r="SAB108" s="68"/>
      <c r="SAC108" s="1"/>
      <c r="SAD108" s="73"/>
      <c r="SAE108" s="74"/>
      <c r="SAG108" s="75"/>
      <c r="SAJ108" s="75"/>
      <c r="SAK108" s="72"/>
      <c r="SAL108" s="68"/>
      <c r="SAM108" s="1"/>
      <c r="SAN108" s="73"/>
      <c r="SAO108" s="74"/>
      <c r="SAQ108" s="75"/>
      <c r="SAT108" s="75"/>
      <c r="SAU108" s="72"/>
      <c r="SAV108" s="68"/>
      <c r="SAW108" s="1"/>
      <c r="SAX108" s="73"/>
      <c r="SAY108" s="74"/>
      <c r="SBA108" s="75"/>
      <c r="SBD108" s="75"/>
      <c r="SBE108" s="72"/>
      <c r="SBF108" s="68"/>
      <c r="SBG108" s="1"/>
      <c r="SBH108" s="73"/>
      <c r="SBI108" s="74"/>
      <c r="SBK108" s="75"/>
      <c r="SBN108" s="75"/>
      <c r="SBO108" s="72"/>
      <c r="SBP108" s="68"/>
      <c r="SBQ108" s="1"/>
      <c r="SBR108" s="73"/>
      <c r="SBS108" s="74"/>
      <c r="SBU108" s="75"/>
      <c r="SBX108" s="75"/>
      <c r="SBY108" s="72"/>
      <c r="SBZ108" s="68"/>
      <c r="SCA108" s="1"/>
      <c r="SCB108" s="73"/>
      <c r="SCC108" s="74"/>
      <c r="SCE108" s="75"/>
      <c r="SCH108" s="75"/>
      <c r="SCI108" s="72"/>
      <c r="SCJ108" s="68"/>
      <c r="SCK108" s="1"/>
      <c r="SCL108" s="73"/>
      <c r="SCM108" s="74"/>
      <c r="SCO108" s="75"/>
      <c r="SCR108" s="75"/>
      <c r="SCS108" s="72"/>
      <c r="SCT108" s="68"/>
      <c r="SCU108" s="1"/>
      <c r="SCV108" s="73"/>
      <c r="SCW108" s="74"/>
      <c r="SCY108" s="75"/>
      <c r="SDB108" s="75"/>
      <c r="SDC108" s="72"/>
      <c r="SDD108" s="68"/>
      <c r="SDE108" s="1"/>
      <c r="SDF108" s="73"/>
      <c r="SDG108" s="74"/>
      <c r="SDI108" s="75"/>
      <c r="SDL108" s="75"/>
      <c r="SDM108" s="72"/>
      <c r="SDN108" s="68"/>
      <c r="SDO108" s="1"/>
      <c r="SDP108" s="73"/>
      <c r="SDQ108" s="74"/>
      <c r="SDS108" s="75"/>
      <c r="SDV108" s="75"/>
      <c r="SDW108" s="72"/>
      <c r="SDX108" s="68"/>
      <c r="SDY108" s="1"/>
      <c r="SDZ108" s="73"/>
      <c r="SEA108" s="74"/>
      <c r="SEC108" s="75"/>
      <c r="SEF108" s="75"/>
      <c r="SEG108" s="72"/>
      <c r="SEH108" s="68"/>
      <c r="SEI108" s="1"/>
      <c r="SEJ108" s="73"/>
      <c r="SEK108" s="74"/>
      <c r="SEM108" s="75"/>
      <c r="SEP108" s="75"/>
      <c r="SEQ108" s="72"/>
      <c r="SER108" s="68"/>
      <c r="SES108" s="1"/>
      <c r="SET108" s="73"/>
      <c r="SEU108" s="74"/>
      <c r="SEW108" s="75"/>
      <c r="SEZ108" s="75"/>
      <c r="SFA108" s="72"/>
      <c r="SFB108" s="68"/>
      <c r="SFC108" s="1"/>
      <c r="SFD108" s="73"/>
      <c r="SFE108" s="74"/>
      <c r="SFG108" s="75"/>
      <c r="SFJ108" s="75"/>
      <c r="SFK108" s="72"/>
      <c r="SFL108" s="68"/>
      <c r="SFM108" s="1"/>
      <c r="SFN108" s="73"/>
      <c r="SFO108" s="74"/>
      <c r="SFQ108" s="75"/>
      <c r="SFT108" s="75"/>
      <c r="SFU108" s="72"/>
      <c r="SFV108" s="68"/>
      <c r="SFW108" s="1"/>
      <c r="SFX108" s="73"/>
      <c r="SFY108" s="74"/>
      <c r="SGA108" s="75"/>
      <c r="SGD108" s="75"/>
      <c r="SGE108" s="72"/>
      <c r="SGF108" s="68"/>
      <c r="SGG108" s="1"/>
      <c r="SGH108" s="73"/>
      <c r="SGI108" s="74"/>
      <c r="SGK108" s="75"/>
      <c r="SGN108" s="75"/>
      <c r="SGO108" s="72"/>
      <c r="SGP108" s="68"/>
      <c r="SGQ108" s="1"/>
      <c r="SGR108" s="73"/>
      <c r="SGS108" s="74"/>
      <c r="SGU108" s="75"/>
      <c r="SGX108" s="75"/>
      <c r="SGY108" s="72"/>
      <c r="SGZ108" s="68"/>
      <c r="SHA108" s="1"/>
      <c r="SHB108" s="73"/>
      <c r="SHC108" s="74"/>
      <c r="SHE108" s="75"/>
      <c r="SHH108" s="75"/>
      <c r="SHI108" s="72"/>
      <c r="SHJ108" s="68"/>
      <c r="SHK108" s="1"/>
      <c r="SHL108" s="73"/>
      <c r="SHM108" s="74"/>
      <c r="SHO108" s="75"/>
      <c r="SHR108" s="75"/>
      <c r="SHS108" s="72"/>
      <c r="SHT108" s="68"/>
      <c r="SHU108" s="1"/>
      <c r="SHV108" s="73"/>
      <c r="SHW108" s="74"/>
      <c r="SHY108" s="75"/>
      <c r="SIB108" s="75"/>
      <c r="SIC108" s="72"/>
      <c r="SID108" s="68"/>
      <c r="SIE108" s="1"/>
      <c r="SIF108" s="73"/>
      <c r="SIG108" s="74"/>
      <c r="SII108" s="75"/>
      <c r="SIL108" s="75"/>
      <c r="SIM108" s="72"/>
      <c r="SIN108" s="68"/>
      <c r="SIO108" s="1"/>
      <c r="SIP108" s="73"/>
      <c r="SIQ108" s="74"/>
      <c r="SIS108" s="75"/>
      <c r="SIV108" s="75"/>
      <c r="SIW108" s="72"/>
      <c r="SIX108" s="68"/>
      <c r="SIY108" s="1"/>
      <c r="SIZ108" s="73"/>
      <c r="SJA108" s="74"/>
      <c r="SJC108" s="75"/>
      <c r="SJF108" s="75"/>
      <c r="SJG108" s="72"/>
      <c r="SJH108" s="68"/>
      <c r="SJI108" s="1"/>
      <c r="SJJ108" s="73"/>
      <c r="SJK108" s="74"/>
      <c r="SJM108" s="75"/>
      <c r="SJP108" s="75"/>
      <c r="SJQ108" s="72"/>
      <c r="SJR108" s="68"/>
      <c r="SJS108" s="1"/>
      <c r="SJT108" s="73"/>
      <c r="SJU108" s="74"/>
      <c r="SJW108" s="75"/>
      <c r="SJZ108" s="75"/>
      <c r="SKA108" s="72"/>
      <c r="SKB108" s="68"/>
      <c r="SKC108" s="1"/>
      <c r="SKD108" s="73"/>
      <c r="SKE108" s="74"/>
      <c r="SKG108" s="75"/>
      <c r="SKJ108" s="75"/>
      <c r="SKK108" s="72"/>
      <c r="SKL108" s="68"/>
      <c r="SKM108" s="1"/>
      <c r="SKN108" s="73"/>
      <c r="SKO108" s="74"/>
      <c r="SKQ108" s="75"/>
      <c r="SKT108" s="75"/>
      <c r="SKU108" s="72"/>
      <c r="SKV108" s="68"/>
      <c r="SKW108" s="1"/>
      <c r="SKX108" s="73"/>
      <c r="SKY108" s="74"/>
      <c r="SLA108" s="75"/>
      <c r="SLD108" s="75"/>
      <c r="SLE108" s="72"/>
      <c r="SLF108" s="68"/>
      <c r="SLG108" s="1"/>
      <c r="SLH108" s="73"/>
      <c r="SLI108" s="74"/>
      <c r="SLK108" s="75"/>
      <c r="SLN108" s="75"/>
      <c r="SLO108" s="72"/>
      <c r="SLP108" s="68"/>
      <c r="SLQ108" s="1"/>
      <c r="SLR108" s="73"/>
      <c r="SLS108" s="74"/>
      <c r="SLU108" s="75"/>
      <c r="SLX108" s="75"/>
      <c r="SLY108" s="72"/>
      <c r="SLZ108" s="68"/>
      <c r="SMA108" s="1"/>
      <c r="SMB108" s="73"/>
      <c r="SMC108" s="74"/>
      <c r="SME108" s="75"/>
      <c r="SMH108" s="75"/>
      <c r="SMI108" s="72"/>
      <c r="SMJ108" s="68"/>
      <c r="SMK108" s="1"/>
      <c r="SML108" s="73"/>
      <c r="SMM108" s="74"/>
      <c r="SMO108" s="75"/>
      <c r="SMR108" s="75"/>
      <c r="SMS108" s="72"/>
      <c r="SMT108" s="68"/>
      <c r="SMU108" s="1"/>
      <c r="SMV108" s="73"/>
      <c r="SMW108" s="74"/>
      <c r="SMY108" s="75"/>
      <c r="SNB108" s="75"/>
      <c r="SNC108" s="72"/>
      <c r="SND108" s="68"/>
      <c r="SNE108" s="1"/>
      <c r="SNF108" s="73"/>
      <c r="SNG108" s="74"/>
      <c r="SNI108" s="75"/>
      <c r="SNL108" s="75"/>
      <c r="SNM108" s="72"/>
      <c r="SNN108" s="68"/>
      <c r="SNO108" s="1"/>
      <c r="SNP108" s="73"/>
      <c r="SNQ108" s="74"/>
      <c r="SNS108" s="75"/>
      <c r="SNV108" s="75"/>
      <c r="SNW108" s="72"/>
      <c r="SNX108" s="68"/>
      <c r="SNY108" s="1"/>
      <c r="SNZ108" s="73"/>
      <c r="SOA108" s="74"/>
      <c r="SOC108" s="75"/>
      <c r="SOF108" s="75"/>
      <c r="SOG108" s="72"/>
      <c r="SOH108" s="68"/>
      <c r="SOI108" s="1"/>
      <c r="SOJ108" s="73"/>
      <c r="SOK108" s="74"/>
      <c r="SOM108" s="75"/>
      <c r="SOP108" s="75"/>
      <c r="SOQ108" s="72"/>
      <c r="SOR108" s="68"/>
      <c r="SOS108" s="1"/>
      <c r="SOT108" s="73"/>
      <c r="SOU108" s="74"/>
      <c r="SOW108" s="75"/>
      <c r="SOZ108" s="75"/>
      <c r="SPA108" s="72"/>
      <c r="SPB108" s="68"/>
      <c r="SPC108" s="1"/>
      <c r="SPD108" s="73"/>
      <c r="SPE108" s="74"/>
      <c r="SPG108" s="75"/>
      <c r="SPJ108" s="75"/>
      <c r="SPK108" s="72"/>
      <c r="SPL108" s="68"/>
      <c r="SPM108" s="1"/>
      <c r="SPN108" s="73"/>
      <c r="SPO108" s="74"/>
      <c r="SPQ108" s="75"/>
      <c r="SPT108" s="75"/>
      <c r="SPU108" s="72"/>
      <c r="SPV108" s="68"/>
      <c r="SPW108" s="1"/>
      <c r="SPX108" s="73"/>
      <c r="SPY108" s="74"/>
      <c r="SQA108" s="75"/>
      <c r="SQD108" s="75"/>
      <c r="SQE108" s="72"/>
      <c r="SQF108" s="68"/>
      <c r="SQG108" s="1"/>
      <c r="SQH108" s="73"/>
      <c r="SQI108" s="74"/>
      <c r="SQK108" s="75"/>
      <c r="SQN108" s="75"/>
      <c r="SQO108" s="72"/>
      <c r="SQP108" s="68"/>
      <c r="SQQ108" s="1"/>
      <c r="SQR108" s="73"/>
      <c r="SQS108" s="74"/>
      <c r="SQU108" s="75"/>
      <c r="SQX108" s="75"/>
      <c r="SQY108" s="72"/>
      <c r="SQZ108" s="68"/>
      <c r="SRA108" s="1"/>
      <c r="SRB108" s="73"/>
      <c r="SRC108" s="74"/>
      <c r="SRE108" s="75"/>
      <c r="SRH108" s="75"/>
      <c r="SRI108" s="72"/>
      <c r="SRJ108" s="68"/>
      <c r="SRK108" s="1"/>
      <c r="SRL108" s="73"/>
      <c r="SRM108" s="74"/>
      <c r="SRO108" s="75"/>
      <c r="SRR108" s="75"/>
      <c r="SRS108" s="72"/>
      <c r="SRT108" s="68"/>
      <c r="SRU108" s="1"/>
      <c r="SRV108" s="73"/>
      <c r="SRW108" s="74"/>
      <c r="SRY108" s="75"/>
      <c r="SSB108" s="75"/>
      <c r="SSC108" s="72"/>
      <c r="SSD108" s="68"/>
      <c r="SSE108" s="1"/>
      <c r="SSF108" s="73"/>
      <c r="SSG108" s="74"/>
      <c r="SSI108" s="75"/>
      <c r="SSL108" s="75"/>
      <c r="SSM108" s="72"/>
      <c r="SSN108" s="68"/>
      <c r="SSO108" s="1"/>
      <c r="SSP108" s="73"/>
      <c r="SSQ108" s="74"/>
      <c r="SSS108" s="75"/>
      <c r="SSV108" s="75"/>
      <c r="SSW108" s="72"/>
      <c r="SSX108" s="68"/>
      <c r="SSY108" s="1"/>
      <c r="SSZ108" s="73"/>
      <c r="STA108" s="74"/>
      <c r="STC108" s="75"/>
      <c r="STF108" s="75"/>
      <c r="STG108" s="72"/>
      <c r="STH108" s="68"/>
      <c r="STI108" s="1"/>
      <c r="STJ108" s="73"/>
      <c r="STK108" s="74"/>
      <c r="STM108" s="75"/>
      <c r="STP108" s="75"/>
      <c r="STQ108" s="72"/>
      <c r="STR108" s="68"/>
      <c r="STS108" s="1"/>
      <c r="STT108" s="73"/>
      <c r="STU108" s="74"/>
      <c r="STW108" s="75"/>
      <c r="STZ108" s="75"/>
      <c r="SUA108" s="72"/>
      <c r="SUB108" s="68"/>
      <c r="SUC108" s="1"/>
      <c r="SUD108" s="73"/>
      <c r="SUE108" s="74"/>
      <c r="SUG108" s="75"/>
      <c r="SUJ108" s="75"/>
      <c r="SUK108" s="72"/>
      <c r="SUL108" s="68"/>
      <c r="SUM108" s="1"/>
      <c r="SUN108" s="73"/>
      <c r="SUO108" s="74"/>
      <c r="SUQ108" s="75"/>
      <c r="SUT108" s="75"/>
      <c r="SUU108" s="72"/>
      <c r="SUV108" s="68"/>
      <c r="SUW108" s="1"/>
      <c r="SUX108" s="73"/>
      <c r="SUY108" s="74"/>
      <c r="SVA108" s="75"/>
      <c r="SVD108" s="75"/>
      <c r="SVE108" s="72"/>
      <c r="SVF108" s="68"/>
      <c r="SVG108" s="1"/>
      <c r="SVH108" s="73"/>
      <c r="SVI108" s="74"/>
      <c r="SVK108" s="75"/>
      <c r="SVN108" s="75"/>
      <c r="SVO108" s="72"/>
      <c r="SVP108" s="68"/>
      <c r="SVQ108" s="1"/>
      <c r="SVR108" s="73"/>
      <c r="SVS108" s="74"/>
      <c r="SVU108" s="75"/>
      <c r="SVX108" s="75"/>
      <c r="SVY108" s="72"/>
      <c r="SVZ108" s="68"/>
      <c r="SWA108" s="1"/>
      <c r="SWB108" s="73"/>
      <c r="SWC108" s="74"/>
      <c r="SWE108" s="75"/>
      <c r="SWH108" s="75"/>
      <c r="SWI108" s="72"/>
      <c r="SWJ108" s="68"/>
      <c r="SWK108" s="1"/>
      <c r="SWL108" s="73"/>
      <c r="SWM108" s="74"/>
      <c r="SWO108" s="75"/>
      <c r="SWR108" s="75"/>
      <c r="SWS108" s="72"/>
      <c r="SWT108" s="68"/>
      <c r="SWU108" s="1"/>
      <c r="SWV108" s="73"/>
      <c r="SWW108" s="74"/>
      <c r="SWY108" s="75"/>
      <c r="SXB108" s="75"/>
      <c r="SXC108" s="72"/>
      <c r="SXD108" s="68"/>
      <c r="SXE108" s="1"/>
      <c r="SXF108" s="73"/>
      <c r="SXG108" s="74"/>
      <c r="SXI108" s="75"/>
      <c r="SXL108" s="75"/>
      <c r="SXM108" s="72"/>
      <c r="SXN108" s="68"/>
      <c r="SXO108" s="1"/>
      <c r="SXP108" s="73"/>
      <c r="SXQ108" s="74"/>
      <c r="SXS108" s="75"/>
      <c r="SXV108" s="75"/>
      <c r="SXW108" s="72"/>
      <c r="SXX108" s="68"/>
      <c r="SXY108" s="1"/>
      <c r="SXZ108" s="73"/>
      <c r="SYA108" s="74"/>
      <c r="SYC108" s="75"/>
      <c r="SYF108" s="75"/>
      <c r="SYG108" s="72"/>
      <c r="SYH108" s="68"/>
      <c r="SYI108" s="1"/>
      <c r="SYJ108" s="73"/>
      <c r="SYK108" s="74"/>
      <c r="SYM108" s="75"/>
      <c r="SYP108" s="75"/>
      <c r="SYQ108" s="72"/>
      <c r="SYR108" s="68"/>
      <c r="SYS108" s="1"/>
      <c r="SYT108" s="73"/>
      <c r="SYU108" s="74"/>
      <c r="SYW108" s="75"/>
      <c r="SYZ108" s="75"/>
      <c r="SZA108" s="72"/>
      <c r="SZB108" s="68"/>
      <c r="SZC108" s="1"/>
      <c r="SZD108" s="73"/>
      <c r="SZE108" s="74"/>
      <c r="SZG108" s="75"/>
      <c r="SZJ108" s="75"/>
      <c r="SZK108" s="72"/>
      <c r="SZL108" s="68"/>
      <c r="SZM108" s="1"/>
      <c r="SZN108" s="73"/>
      <c r="SZO108" s="74"/>
      <c r="SZQ108" s="75"/>
      <c r="SZT108" s="75"/>
      <c r="SZU108" s="72"/>
      <c r="SZV108" s="68"/>
      <c r="SZW108" s="1"/>
      <c r="SZX108" s="73"/>
      <c r="SZY108" s="74"/>
      <c r="TAA108" s="75"/>
      <c r="TAD108" s="75"/>
      <c r="TAE108" s="72"/>
      <c r="TAF108" s="68"/>
      <c r="TAG108" s="1"/>
      <c r="TAH108" s="73"/>
      <c r="TAI108" s="74"/>
      <c r="TAK108" s="75"/>
      <c r="TAN108" s="75"/>
      <c r="TAO108" s="72"/>
      <c r="TAP108" s="68"/>
      <c r="TAQ108" s="1"/>
      <c r="TAR108" s="73"/>
      <c r="TAS108" s="74"/>
      <c r="TAU108" s="75"/>
      <c r="TAX108" s="75"/>
      <c r="TAY108" s="72"/>
      <c r="TAZ108" s="68"/>
      <c r="TBA108" s="1"/>
      <c r="TBB108" s="73"/>
      <c r="TBC108" s="74"/>
      <c r="TBE108" s="75"/>
      <c r="TBH108" s="75"/>
      <c r="TBI108" s="72"/>
      <c r="TBJ108" s="68"/>
      <c r="TBK108" s="1"/>
      <c r="TBL108" s="73"/>
      <c r="TBM108" s="74"/>
      <c r="TBO108" s="75"/>
      <c r="TBR108" s="75"/>
      <c r="TBS108" s="72"/>
      <c r="TBT108" s="68"/>
      <c r="TBU108" s="1"/>
      <c r="TBV108" s="73"/>
      <c r="TBW108" s="74"/>
      <c r="TBY108" s="75"/>
      <c r="TCB108" s="75"/>
      <c r="TCC108" s="72"/>
      <c r="TCD108" s="68"/>
      <c r="TCE108" s="1"/>
      <c r="TCF108" s="73"/>
      <c r="TCG108" s="74"/>
      <c r="TCI108" s="75"/>
      <c r="TCL108" s="75"/>
      <c r="TCM108" s="72"/>
      <c r="TCN108" s="68"/>
      <c r="TCO108" s="1"/>
      <c r="TCP108" s="73"/>
      <c r="TCQ108" s="74"/>
      <c r="TCS108" s="75"/>
      <c r="TCV108" s="75"/>
      <c r="TCW108" s="72"/>
      <c r="TCX108" s="68"/>
      <c r="TCY108" s="1"/>
      <c r="TCZ108" s="73"/>
      <c r="TDA108" s="74"/>
      <c r="TDC108" s="75"/>
      <c r="TDF108" s="75"/>
      <c r="TDG108" s="72"/>
      <c r="TDH108" s="68"/>
      <c r="TDI108" s="1"/>
      <c r="TDJ108" s="73"/>
      <c r="TDK108" s="74"/>
      <c r="TDM108" s="75"/>
      <c r="TDP108" s="75"/>
      <c r="TDQ108" s="72"/>
      <c r="TDR108" s="68"/>
      <c r="TDS108" s="1"/>
      <c r="TDT108" s="73"/>
      <c r="TDU108" s="74"/>
      <c r="TDW108" s="75"/>
      <c r="TDZ108" s="75"/>
      <c r="TEA108" s="72"/>
      <c r="TEB108" s="68"/>
      <c r="TEC108" s="1"/>
      <c r="TED108" s="73"/>
      <c r="TEE108" s="74"/>
      <c r="TEG108" s="75"/>
      <c r="TEJ108" s="75"/>
      <c r="TEK108" s="72"/>
      <c r="TEL108" s="68"/>
      <c r="TEM108" s="1"/>
      <c r="TEN108" s="73"/>
      <c r="TEO108" s="74"/>
      <c r="TEQ108" s="75"/>
      <c r="TET108" s="75"/>
      <c r="TEU108" s="72"/>
      <c r="TEV108" s="68"/>
      <c r="TEW108" s="1"/>
      <c r="TEX108" s="73"/>
      <c r="TEY108" s="74"/>
      <c r="TFA108" s="75"/>
      <c r="TFD108" s="75"/>
      <c r="TFE108" s="72"/>
      <c r="TFF108" s="68"/>
      <c r="TFG108" s="1"/>
      <c r="TFH108" s="73"/>
      <c r="TFI108" s="74"/>
      <c r="TFK108" s="75"/>
      <c r="TFN108" s="75"/>
      <c r="TFO108" s="72"/>
      <c r="TFP108" s="68"/>
      <c r="TFQ108" s="1"/>
      <c r="TFR108" s="73"/>
      <c r="TFS108" s="74"/>
      <c r="TFU108" s="75"/>
      <c r="TFX108" s="75"/>
      <c r="TFY108" s="72"/>
      <c r="TFZ108" s="68"/>
      <c r="TGA108" s="1"/>
      <c r="TGB108" s="73"/>
      <c r="TGC108" s="74"/>
      <c r="TGE108" s="75"/>
      <c r="TGH108" s="75"/>
      <c r="TGI108" s="72"/>
      <c r="TGJ108" s="68"/>
      <c r="TGK108" s="1"/>
      <c r="TGL108" s="73"/>
      <c r="TGM108" s="74"/>
      <c r="TGO108" s="75"/>
      <c r="TGR108" s="75"/>
      <c r="TGS108" s="72"/>
      <c r="TGT108" s="68"/>
      <c r="TGU108" s="1"/>
      <c r="TGV108" s="73"/>
      <c r="TGW108" s="74"/>
      <c r="TGY108" s="75"/>
      <c r="THB108" s="75"/>
      <c r="THC108" s="72"/>
      <c r="THD108" s="68"/>
      <c r="THE108" s="1"/>
      <c r="THF108" s="73"/>
      <c r="THG108" s="74"/>
      <c r="THI108" s="75"/>
      <c r="THL108" s="75"/>
      <c r="THM108" s="72"/>
      <c r="THN108" s="68"/>
      <c r="THO108" s="1"/>
      <c r="THP108" s="73"/>
      <c r="THQ108" s="74"/>
      <c r="THS108" s="75"/>
      <c r="THV108" s="75"/>
      <c r="THW108" s="72"/>
      <c r="THX108" s="68"/>
      <c r="THY108" s="1"/>
      <c r="THZ108" s="73"/>
      <c r="TIA108" s="74"/>
      <c r="TIC108" s="75"/>
      <c r="TIF108" s="75"/>
      <c r="TIG108" s="72"/>
      <c r="TIH108" s="68"/>
      <c r="TII108" s="1"/>
      <c r="TIJ108" s="73"/>
      <c r="TIK108" s="74"/>
      <c r="TIM108" s="75"/>
      <c r="TIP108" s="75"/>
      <c r="TIQ108" s="72"/>
      <c r="TIR108" s="68"/>
      <c r="TIS108" s="1"/>
      <c r="TIT108" s="73"/>
      <c r="TIU108" s="74"/>
      <c r="TIW108" s="75"/>
      <c r="TIZ108" s="75"/>
      <c r="TJA108" s="72"/>
      <c r="TJB108" s="68"/>
      <c r="TJC108" s="1"/>
      <c r="TJD108" s="73"/>
      <c r="TJE108" s="74"/>
      <c r="TJG108" s="75"/>
      <c r="TJJ108" s="75"/>
      <c r="TJK108" s="72"/>
      <c r="TJL108" s="68"/>
      <c r="TJM108" s="1"/>
      <c r="TJN108" s="73"/>
      <c r="TJO108" s="74"/>
      <c r="TJQ108" s="75"/>
      <c r="TJT108" s="75"/>
      <c r="TJU108" s="72"/>
      <c r="TJV108" s="68"/>
      <c r="TJW108" s="1"/>
      <c r="TJX108" s="73"/>
      <c r="TJY108" s="74"/>
      <c r="TKA108" s="75"/>
      <c r="TKD108" s="75"/>
      <c r="TKE108" s="72"/>
      <c r="TKF108" s="68"/>
      <c r="TKG108" s="1"/>
      <c r="TKH108" s="73"/>
      <c r="TKI108" s="74"/>
      <c r="TKK108" s="75"/>
      <c r="TKN108" s="75"/>
      <c r="TKO108" s="72"/>
      <c r="TKP108" s="68"/>
      <c r="TKQ108" s="1"/>
      <c r="TKR108" s="73"/>
      <c r="TKS108" s="74"/>
      <c r="TKU108" s="75"/>
      <c r="TKX108" s="75"/>
      <c r="TKY108" s="72"/>
      <c r="TKZ108" s="68"/>
      <c r="TLA108" s="1"/>
      <c r="TLB108" s="73"/>
      <c r="TLC108" s="74"/>
      <c r="TLE108" s="75"/>
      <c r="TLH108" s="75"/>
      <c r="TLI108" s="72"/>
      <c r="TLJ108" s="68"/>
      <c r="TLK108" s="1"/>
      <c r="TLL108" s="73"/>
      <c r="TLM108" s="74"/>
      <c r="TLO108" s="75"/>
      <c r="TLR108" s="75"/>
      <c r="TLS108" s="72"/>
      <c r="TLT108" s="68"/>
      <c r="TLU108" s="1"/>
      <c r="TLV108" s="73"/>
      <c r="TLW108" s="74"/>
      <c r="TLY108" s="75"/>
      <c r="TMB108" s="75"/>
      <c r="TMC108" s="72"/>
      <c r="TMD108" s="68"/>
      <c r="TME108" s="1"/>
      <c r="TMF108" s="73"/>
      <c r="TMG108" s="74"/>
      <c r="TMI108" s="75"/>
      <c r="TML108" s="75"/>
      <c r="TMM108" s="72"/>
      <c r="TMN108" s="68"/>
      <c r="TMO108" s="1"/>
      <c r="TMP108" s="73"/>
      <c r="TMQ108" s="74"/>
      <c r="TMS108" s="75"/>
      <c r="TMV108" s="75"/>
      <c r="TMW108" s="72"/>
      <c r="TMX108" s="68"/>
      <c r="TMY108" s="1"/>
      <c r="TMZ108" s="73"/>
      <c r="TNA108" s="74"/>
      <c r="TNC108" s="75"/>
      <c r="TNF108" s="75"/>
      <c r="TNG108" s="72"/>
      <c r="TNH108" s="68"/>
      <c r="TNI108" s="1"/>
      <c r="TNJ108" s="73"/>
      <c r="TNK108" s="74"/>
      <c r="TNM108" s="75"/>
      <c r="TNP108" s="75"/>
      <c r="TNQ108" s="72"/>
      <c r="TNR108" s="68"/>
      <c r="TNS108" s="1"/>
      <c r="TNT108" s="73"/>
      <c r="TNU108" s="74"/>
      <c r="TNW108" s="75"/>
      <c r="TNZ108" s="75"/>
      <c r="TOA108" s="72"/>
      <c r="TOB108" s="68"/>
      <c r="TOC108" s="1"/>
      <c r="TOD108" s="73"/>
      <c r="TOE108" s="74"/>
      <c r="TOG108" s="75"/>
      <c r="TOJ108" s="75"/>
      <c r="TOK108" s="72"/>
      <c r="TOL108" s="68"/>
      <c r="TOM108" s="1"/>
      <c r="TON108" s="73"/>
      <c r="TOO108" s="74"/>
      <c r="TOQ108" s="75"/>
      <c r="TOT108" s="75"/>
      <c r="TOU108" s="72"/>
      <c r="TOV108" s="68"/>
      <c r="TOW108" s="1"/>
      <c r="TOX108" s="73"/>
      <c r="TOY108" s="74"/>
      <c r="TPA108" s="75"/>
      <c r="TPD108" s="75"/>
      <c r="TPE108" s="72"/>
      <c r="TPF108" s="68"/>
      <c r="TPG108" s="1"/>
      <c r="TPH108" s="73"/>
      <c r="TPI108" s="74"/>
      <c r="TPK108" s="75"/>
      <c r="TPN108" s="75"/>
      <c r="TPO108" s="72"/>
      <c r="TPP108" s="68"/>
      <c r="TPQ108" s="1"/>
      <c r="TPR108" s="73"/>
      <c r="TPS108" s="74"/>
      <c r="TPU108" s="75"/>
      <c r="TPX108" s="75"/>
      <c r="TPY108" s="72"/>
      <c r="TPZ108" s="68"/>
      <c r="TQA108" s="1"/>
      <c r="TQB108" s="73"/>
      <c r="TQC108" s="74"/>
      <c r="TQE108" s="75"/>
      <c r="TQH108" s="75"/>
      <c r="TQI108" s="72"/>
      <c r="TQJ108" s="68"/>
      <c r="TQK108" s="1"/>
      <c r="TQL108" s="73"/>
      <c r="TQM108" s="74"/>
      <c r="TQO108" s="75"/>
      <c r="TQR108" s="75"/>
      <c r="TQS108" s="72"/>
      <c r="TQT108" s="68"/>
      <c r="TQU108" s="1"/>
      <c r="TQV108" s="73"/>
      <c r="TQW108" s="74"/>
      <c r="TQY108" s="75"/>
      <c r="TRB108" s="75"/>
      <c r="TRC108" s="72"/>
      <c r="TRD108" s="68"/>
      <c r="TRE108" s="1"/>
      <c r="TRF108" s="73"/>
      <c r="TRG108" s="74"/>
      <c r="TRI108" s="75"/>
      <c r="TRL108" s="75"/>
      <c r="TRM108" s="72"/>
      <c r="TRN108" s="68"/>
      <c r="TRO108" s="1"/>
      <c r="TRP108" s="73"/>
      <c r="TRQ108" s="74"/>
      <c r="TRS108" s="75"/>
      <c r="TRV108" s="75"/>
      <c r="TRW108" s="72"/>
      <c r="TRX108" s="68"/>
      <c r="TRY108" s="1"/>
      <c r="TRZ108" s="73"/>
      <c r="TSA108" s="74"/>
      <c r="TSC108" s="75"/>
      <c r="TSF108" s="75"/>
      <c r="TSG108" s="72"/>
      <c r="TSH108" s="68"/>
      <c r="TSI108" s="1"/>
      <c r="TSJ108" s="73"/>
      <c r="TSK108" s="74"/>
      <c r="TSM108" s="75"/>
      <c r="TSP108" s="75"/>
      <c r="TSQ108" s="72"/>
      <c r="TSR108" s="68"/>
      <c r="TSS108" s="1"/>
      <c r="TST108" s="73"/>
      <c r="TSU108" s="74"/>
      <c r="TSW108" s="75"/>
      <c r="TSZ108" s="75"/>
      <c r="TTA108" s="72"/>
      <c r="TTB108" s="68"/>
      <c r="TTC108" s="1"/>
      <c r="TTD108" s="73"/>
      <c r="TTE108" s="74"/>
      <c r="TTG108" s="75"/>
      <c r="TTJ108" s="75"/>
      <c r="TTK108" s="72"/>
      <c r="TTL108" s="68"/>
      <c r="TTM108" s="1"/>
      <c r="TTN108" s="73"/>
      <c r="TTO108" s="74"/>
      <c r="TTQ108" s="75"/>
      <c r="TTT108" s="75"/>
      <c r="TTU108" s="72"/>
      <c r="TTV108" s="68"/>
      <c r="TTW108" s="1"/>
      <c r="TTX108" s="73"/>
      <c r="TTY108" s="74"/>
      <c r="TUA108" s="75"/>
      <c r="TUD108" s="75"/>
      <c r="TUE108" s="72"/>
      <c r="TUF108" s="68"/>
      <c r="TUG108" s="1"/>
      <c r="TUH108" s="73"/>
      <c r="TUI108" s="74"/>
      <c r="TUK108" s="75"/>
      <c r="TUN108" s="75"/>
      <c r="TUO108" s="72"/>
      <c r="TUP108" s="68"/>
      <c r="TUQ108" s="1"/>
      <c r="TUR108" s="73"/>
      <c r="TUS108" s="74"/>
      <c r="TUU108" s="75"/>
      <c r="TUX108" s="75"/>
      <c r="TUY108" s="72"/>
      <c r="TUZ108" s="68"/>
      <c r="TVA108" s="1"/>
      <c r="TVB108" s="73"/>
      <c r="TVC108" s="74"/>
      <c r="TVE108" s="75"/>
      <c r="TVH108" s="75"/>
      <c r="TVI108" s="72"/>
      <c r="TVJ108" s="68"/>
      <c r="TVK108" s="1"/>
      <c r="TVL108" s="73"/>
      <c r="TVM108" s="74"/>
      <c r="TVO108" s="75"/>
      <c r="TVR108" s="75"/>
      <c r="TVS108" s="72"/>
      <c r="TVT108" s="68"/>
      <c r="TVU108" s="1"/>
      <c r="TVV108" s="73"/>
      <c r="TVW108" s="74"/>
      <c r="TVY108" s="75"/>
      <c r="TWB108" s="75"/>
      <c r="TWC108" s="72"/>
      <c r="TWD108" s="68"/>
      <c r="TWE108" s="1"/>
      <c r="TWF108" s="73"/>
      <c r="TWG108" s="74"/>
      <c r="TWI108" s="75"/>
      <c r="TWL108" s="75"/>
      <c r="TWM108" s="72"/>
      <c r="TWN108" s="68"/>
      <c r="TWO108" s="1"/>
      <c r="TWP108" s="73"/>
      <c r="TWQ108" s="74"/>
      <c r="TWS108" s="75"/>
      <c r="TWV108" s="75"/>
      <c r="TWW108" s="72"/>
      <c r="TWX108" s="68"/>
      <c r="TWY108" s="1"/>
      <c r="TWZ108" s="73"/>
      <c r="TXA108" s="74"/>
      <c r="TXC108" s="75"/>
      <c r="TXF108" s="75"/>
      <c r="TXG108" s="72"/>
      <c r="TXH108" s="68"/>
      <c r="TXI108" s="1"/>
      <c r="TXJ108" s="73"/>
      <c r="TXK108" s="74"/>
      <c r="TXM108" s="75"/>
      <c r="TXP108" s="75"/>
      <c r="TXQ108" s="72"/>
      <c r="TXR108" s="68"/>
      <c r="TXS108" s="1"/>
      <c r="TXT108" s="73"/>
      <c r="TXU108" s="74"/>
      <c r="TXW108" s="75"/>
      <c r="TXZ108" s="75"/>
      <c r="TYA108" s="72"/>
      <c r="TYB108" s="68"/>
      <c r="TYC108" s="1"/>
      <c r="TYD108" s="73"/>
      <c r="TYE108" s="74"/>
      <c r="TYG108" s="75"/>
      <c r="TYJ108" s="75"/>
      <c r="TYK108" s="72"/>
      <c r="TYL108" s="68"/>
      <c r="TYM108" s="1"/>
      <c r="TYN108" s="73"/>
      <c r="TYO108" s="74"/>
      <c r="TYQ108" s="75"/>
      <c r="TYT108" s="75"/>
      <c r="TYU108" s="72"/>
      <c r="TYV108" s="68"/>
      <c r="TYW108" s="1"/>
      <c r="TYX108" s="73"/>
      <c r="TYY108" s="74"/>
      <c r="TZA108" s="75"/>
      <c r="TZD108" s="75"/>
      <c r="TZE108" s="72"/>
      <c r="TZF108" s="68"/>
      <c r="TZG108" s="1"/>
      <c r="TZH108" s="73"/>
      <c r="TZI108" s="74"/>
      <c r="TZK108" s="75"/>
      <c r="TZN108" s="75"/>
      <c r="TZO108" s="72"/>
      <c r="TZP108" s="68"/>
      <c r="TZQ108" s="1"/>
      <c r="TZR108" s="73"/>
      <c r="TZS108" s="74"/>
      <c r="TZU108" s="75"/>
      <c r="TZX108" s="75"/>
      <c r="TZY108" s="72"/>
      <c r="TZZ108" s="68"/>
      <c r="UAA108" s="1"/>
      <c r="UAB108" s="73"/>
      <c r="UAC108" s="74"/>
      <c r="UAE108" s="75"/>
      <c r="UAH108" s="75"/>
      <c r="UAI108" s="72"/>
      <c r="UAJ108" s="68"/>
      <c r="UAK108" s="1"/>
      <c r="UAL108" s="73"/>
      <c r="UAM108" s="74"/>
      <c r="UAO108" s="75"/>
      <c r="UAR108" s="75"/>
      <c r="UAS108" s="72"/>
      <c r="UAT108" s="68"/>
      <c r="UAU108" s="1"/>
      <c r="UAV108" s="73"/>
      <c r="UAW108" s="74"/>
      <c r="UAY108" s="75"/>
      <c r="UBB108" s="75"/>
      <c r="UBC108" s="72"/>
      <c r="UBD108" s="68"/>
      <c r="UBE108" s="1"/>
      <c r="UBF108" s="73"/>
      <c r="UBG108" s="74"/>
      <c r="UBI108" s="75"/>
      <c r="UBL108" s="75"/>
      <c r="UBM108" s="72"/>
      <c r="UBN108" s="68"/>
      <c r="UBO108" s="1"/>
      <c r="UBP108" s="73"/>
      <c r="UBQ108" s="74"/>
      <c r="UBS108" s="75"/>
      <c r="UBV108" s="75"/>
      <c r="UBW108" s="72"/>
      <c r="UBX108" s="68"/>
      <c r="UBY108" s="1"/>
      <c r="UBZ108" s="73"/>
      <c r="UCA108" s="74"/>
      <c r="UCC108" s="75"/>
      <c r="UCF108" s="75"/>
      <c r="UCG108" s="72"/>
      <c r="UCH108" s="68"/>
      <c r="UCI108" s="1"/>
      <c r="UCJ108" s="73"/>
      <c r="UCK108" s="74"/>
      <c r="UCM108" s="75"/>
      <c r="UCP108" s="75"/>
      <c r="UCQ108" s="72"/>
      <c r="UCR108" s="68"/>
      <c r="UCS108" s="1"/>
      <c r="UCT108" s="73"/>
      <c r="UCU108" s="74"/>
      <c r="UCW108" s="75"/>
      <c r="UCZ108" s="75"/>
      <c r="UDA108" s="72"/>
      <c r="UDB108" s="68"/>
      <c r="UDC108" s="1"/>
      <c r="UDD108" s="73"/>
      <c r="UDE108" s="74"/>
      <c r="UDG108" s="75"/>
      <c r="UDJ108" s="75"/>
      <c r="UDK108" s="72"/>
      <c r="UDL108" s="68"/>
      <c r="UDM108" s="1"/>
      <c r="UDN108" s="73"/>
      <c r="UDO108" s="74"/>
      <c r="UDQ108" s="75"/>
      <c r="UDT108" s="75"/>
      <c r="UDU108" s="72"/>
      <c r="UDV108" s="68"/>
      <c r="UDW108" s="1"/>
      <c r="UDX108" s="73"/>
      <c r="UDY108" s="74"/>
      <c r="UEA108" s="75"/>
      <c r="UED108" s="75"/>
      <c r="UEE108" s="72"/>
      <c r="UEF108" s="68"/>
      <c r="UEG108" s="1"/>
      <c r="UEH108" s="73"/>
      <c r="UEI108" s="74"/>
      <c r="UEK108" s="75"/>
      <c r="UEN108" s="75"/>
      <c r="UEO108" s="72"/>
      <c r="UEP108" s="68"/>
      <c r="UEQ108" s="1"/>
      <c r="UER108" s="73"/>
      <c r="UES108" s="74"/>
      <c r="UEU108" s="75"/>
      <c r="UEX108" s="75"/>
      <c r="UEY108" s="72"/>
      <c r="UEZ108" s="68"/>
      <c r="UFA108" s="1"/>
      <c r="UFB108" s="73"/>
      <c r="UFC108" s="74"/>
      <c r="UFE108" s="75"/>
      <c r="UFH108" s="75"/>
      <c r="UFI108" s="72"/>
      <c r="UFJ108" s="68"/>
      <c r="UFK108" s="1"/>
      <c r="UFL108" s="73"/>
      <c r="UFM108" s="74"/>
      <c r="UFO108" s="75"/>
      <c r="UFR108" s="75"/>
      <c r="UFS108" s="72"/>
      <c r="UFT108" s="68"/>
      <c r="UFU108" s="1"/>
      <c r="UFV108" s="73"/>
      <c r="UFW108" s="74"/>
      <c r="UFY108" s="75"/>
      <c r="UGB108" s="75"/>
      <c r="UGC108" s="72"/>
      <c r="UGD108" s="68"/>
      <c r="UGE108" s="1"/>
      <c r="UGF108" s="73"/>
      <c r="UGG108" s="74"/>
      <c r="UGI108" s="75"/>
      <c r="UGL108" s="75"/>
      <c r="UGM108" s="72"/>
      <c r="UGN108" s="68"/>
      <c r="UGO108" s="1"/>
      <c r="UGP108" s="73"/>
      <c r="UGQ108" s="74"/>
      <c r="UGS108" s="75"/>
      <c r="UGV108" s="75"/>
      <c r="UGW108" s="72"/>
      <c r="UGX108" s="68"/>
      <c r="UGY108" s="1"/>
      <c r="UGZ108" s="73"/>
      <c r="UHA108" s="74"/>
      <c r="UHC108" s="75"/>
      <c r="UHF108" s="75"/>
      <c r="UHG108" s="72"/>
      <c r="UHH108" s="68"/>
      <c r="UHI108" s="1"/>
      <c r="UHJ108" s="73"/>
      <c r="UHK108" s="74"/>
      <c r="UHM108" s="75"/>
      <c r="UHP108" s="75"/>
      <c r="UHQ108" s="72"/>
      <c r="UHR108" s="68"/>
      <c r="UHS108" s="1"/>
      <c r="UHT108" s="73"/>
      <c r="UHU108" s="74"/>
      <c r="UHW108" s="75"/>
      <c r="UHZ108" s="75"/>
      <c r="UIA108" s="72"/>
      <c r="UIB108" s="68"/>
      <c r="UIC108" s="1"/>
      <c r="UID108" s="73"/>
      <c r="UIE108" s="74"/>
      <c r="UIG108" s="75"/>
      <c r="UIJ108" s="75"/>
      <c r="UIK108" s="72"/>
      <c r="UIL108" s="68"/>
      <c r="UIM108" s="1"/>
      <c r="UIN108" s="73"/>
      <c r="UIO108" s="74"/>
      <c r="UIQ108" s="75"/>
      <c r="UIT108" s="75"/>
      <c r="UIU108" s="72"/>
      <c r="UIV108" s="68"/>
      <c r="UIW108" s="1"/>
      <c r="UIX108" s="73"/>
      <c r="UIY108" s="74"/>
      <c r="UJA108" s="75"/>
      <c r="UJD108" s="75"/>
      <c r="UJE108" s="72"/>
      <c r="UJF108" s="68"/>
      <c r="UJG108" s="1"/>
      <c r="UJH108" s="73"/>
      <c r="UJI108" s="74"/>
      <c r="UJK108" s="75"/>
      <c r="UJN108" s="75"/>
      <c r="UJO108" s="72"/>
      <c r="UJP108" s="68"/>
      <c r="UJQ108" s="1"/>
      <c r="UJR108" s="73"/>
      <c r="UJS108" s="74"/>
      <c r="UJU108" s="75"/>
      <c r="UJX108" s="75"/>
      <c r="UJY108" s="72"/>
      <c r="UJZ108" s="68"/>
      <c r="UKA108" s="1"/>
      <c r="UKB108" s="73"/>
      <c r="UKC108" s="74"/>
      <c r="UKE108" s="75"/>
      <c r="UKH108" s="75"/>
      <c r="UKI108" s="72"/>
      <c r="UKJ108" s="68"/>
      <c r="UKK108" s="1"/>
      <c r="UKL108" s="73"/>
      <c r="UKM108" s="74"/>
      <c r="UKO108" s="75"/>
      <c r="UKR108" s="75"/>
      <c r="UKS108" s="72"/>
      <c r="UKT108" s="68"/>
      <c r="UKU108" s="1"/>
      <c r="UKV108" s="73"/>
      <c r="UKW108" s="74"/>
      <c r="UKY108" s="75"/>
      <c r="ULB108" s="75"/>
      <c r="ULC108" s="72"/>
      <c r="ULD108" s="68"/>
      <c r="ULE108" s="1"/>
      <c r="ULF108" s="73"/>
      <c r="ULG108" s="74"/>
      <c r="ULI108" s="75"/>
      <c r="ULL108" s="75"/>
      <c r="ULM108" s="72"/>
      <c r="ULN108" s="68"/>
      <c r="ULO108" s="1"/>
      <c r="ULP108" s="73"/>
      <c r="ULQ108" s="74"/>
      <c r="ULS108" s="75"/>
      <c r="ULV108" s="75"/>
      <c r="ULW108" s="72"/>
      <c r="ULX108" s="68"/>
      <c r="ULY108" s="1"/>
      <c r="ULZ108" s="73"/>
      <c r="UMA108" s="74"/>
      <c r="UMC108" s="75"/>
      <c r="UMF108" s="75"/>
      <c r="UMG108" s="72"/>
      <c r="UMH108" s="68"/>
      <c r="UMI108" s="1"/>
      <c r="UMJ108" s="73"/>
      <c r="UMK108" s="74"/>
      <c r="UMM108" s="75"/>
      <c r="UMP108" s="75"/>
      <c r="UMQ108" s="72"/>
      <c r="UMR108" s="68"/>
      <c r="UMS108" s="1"/>
      <c r="UMT108" s="73"/>
      <c r="UMU108" s="74"/>
      <c r="UMW108" s="75"/>
      <c r="UMZ108" s="75"/>
      <c r="UNA108" s="72"/>
      <c r="UNB108" s="68"/>
      <c r="UNC108" s="1"/>
      <c r="UND108" s="73"/>
      <c r="UNE108" s="74"/>
      <c r="UNG108" s="75"/>
      <c r="UNJ108" s="75"/>
      <c r="UNK108" s="72"/>
      <c r="UNL108" s="68"/>
      <c r="UNM108" s="1"/>
      <c r="UNN108" s="73"/>
      <c r="UNO108" s="74"/>
      <c r="UNQ108" s="75"/>
      <c r="UNT108" s="75"/>
      <c r="UNU108" s="72"/>
      <c r="UNV108" s="68"/>
      <c r="UNW108" s="1"/>
      <c r="UNX108" s="73"/>
      <c r="UNY108" s="74"/>
      <c r="UOA108" s="75"/>
      <c r="UOD108" s="75"/>
      <c r="UOE108" s="72"/>
      <c r="UOF108" s="68"/>
      <c r="UOG108" s="1"/>
      <c r="UOH108" s="73"/>
      <c r="UOI108" s="74"/>
      <c r="UOK108" s="75"/>
      <c r="UON108" s="75"/>
      <c r="UOO108" s="72"/>
      <c r="UOP108" s="68"/>
      <c r="UOQ108" s="1"/>
      <c r="UOR108" s="73"/>
      <c r="UOS108" s="74"/>
      <c r="UOU108" s="75"/>
      <c r="UOX108" s="75"/>
      <c r="UOY108" s="72"/>
      <c r="UOZ108" s="68"/>
      <c r="UPA108" s="1"/>
      <c r="UPB108" s="73"/>
      <c r="UPC108" s="74"/>
      <c r="UPE108" s="75"/>
      <c r="UPH108" s="75"/>
      <c r="UPI108" s="72"/>
      <c r="UPJ108" s="68"/>
      <c r="UPK108" s="1"/>
      <c r="UPL108" s="73"/>
      <c r="UPM108" s="74"/>
      <c r="UPO108" s="75"/>
      <c r="UPR108" s="75"/>
      <c r="UPS108" s="72"/>
      <c r="UPT108" s="68"/>
      <c r="UPU108" s="1"/>
      <c r="UPV108" s="73"/>
      <c r="UPW108" s="74"/>
      <c r="UPY108" s="75"/>
      <c r="UQB108" s="75"/>
      <c r="UQC108" s="72"/>
      <c r="UQD108" s="68"/>
      <c r="UQE108" s="1"/>
      <c r="UQF108" s="73"/>
      <c r="UQG108" s="74"/>
      <c r="UQI108" s="75"/>
      <c r="UQL108" s="75"/>
      <c r="UQM108" s="72"/>
      <c r="UQN108" s="68"/>
      <c r="UQO108" s="1"/>
      <c r="UQP108" s="73"/>
      <c r="UQQ108" s="74"/>
      <c r="UQS108" s="75"/>
      <c r="UQV108" s="75"/>
      <c r="UQW108" s="72"/>
      <c r="UQX108" s="68"/>
      <c r="UQY108" s="1"/>
      <c r="UQZ108" s="73"/>
      <c r="URA108" s="74"/>
      <c r="URC108" s="75"/>
      <c r="URF108" s="75"/>
      <c r="URG108" s="72"/>
      <c r="URH108" s="68"/>
      <c r="URI108" s="1"/>
      <c r="URJ108" s="73"/>
      <c r="URK108" s="74"/>
      <c r="URM108" s="75"/>
      <c r="URP108" s="75"/>
      <c r="URQ108" s="72"/>
      <c r="URR108" s="68"/>
      <c r="URS108" s="1"/>
      <c r="URT108" s="73"/>
      <c r="URU108" s="74"/>
      <c r="URW108" s="75"/>
      <c r="URZ108" s="75"/>
      <c r="USA108" s="72"/>
      <c r="USB108" s="68"/>
      <c r="USC108" s="1"/>
      <c r="USD108" s="73"/>
      <c r="USE108" s="74"/>
      <c r="USG108" s="75"/>
      <c r="USJ108" s="75"/>
      <c r="USK108" s="72"/>
      <c r="USL108" s="68"/>
      <c r="USM108" s="1"/>
      <c r="USN108" s="73"/>
      <c r="USO108" s="74"/>
      <c r="USQ108" s="75"/>
      <c r="UST108" s="75"/>
      <c r="USU108" s="72"/>
      <c r="USV108" s="68"/>
      <c r="USW108" s="1"/>
      <c r="USX108" s="73"/>
      <c r="USY108" s="74"/>
      <c r="UTA108" s="75"/>
      <c r="UTD108" s="75"/>
      <c r="UTE108" s="72"/>
      <c r="UTF108" s="68"/>
      <c r="UTG108" s="1"/>
      <c r="UTH108" s="73"/>
      <c r="UTI108" s="74"/>
      <c r="UTK108" s="75"/>
      <c r="UTN108" s="75"/>
      <c r="UTO108" s="72"/>
      <c r="UTP108" s="68"/>
      <c r="UTQ108" s="1"/>
      <c r="UTR108" s="73"/>
      <c r="UTS108" s="74"/>
      <c r="UTU108" s="75"/>
      <c r="UTX108" s="75"/>
      <c r="UTY108" s="72"/>
      <c r="UTZ108" s="68"/>
      <c r="UUA108" s="1"/>
      <c r="UUB108" s="73"/>
      <c r="UUC108" s="74"/>
      <c r="UUE108" s="75"/>
      <c r="UUH108" s="75"/>
      <c r="UUI108" s="72"/>
      <c r="UUJ108" s="68"/>
      <c r="UUK108" s="1"/>
      <c r="UUL108" s="73"/>
      <c r="UUM108" s="74"/>
      <c r="UUO108" s="75"/>
      <c r="UUR108" s="75"/>
      <c r="UUS108" s="72"/>
      <c r="UUT108" s="68"/>
      <c r="UUU108" s="1"/>
      <c r="UUV108" s="73"/>
      <c r="UUW108" s="74"/>
      <c r="UUY108" s="75"/>
      <c r="UVB108" s="75"/>
      <c r="UVC108" s="72"/>
      <c r="UVD108" s="68"/>
      <c r="UVE108" s="1"/>
      <c r="UVF108" s="73"/>
      <c r="UVG108" s="74"/>
      <c r="UVI108" s="75"/>
      <c r="UVL108" s="75"/>
      <c r="UVM108" s="72"/>
      <c r="UVN108" s="68"/>
      <c r="UVO108" s="1"/>
      <c r="UVP108" s="73"/>
      <c r="UVQ108" s="74"/>
      <c r="UVS108" s="75"/>
      <c r="UVV108" s="75"/>
      <c r="UVW108" s="72"/>
      <c r="UVX108" s="68"/>
      <c r="UVY108" s="1"/>
      <c r="UVZ108" s="73"/>
      <c r="UWA108" s="74"/>
      <c r="UWC108" s="75"/>
      <c r="UWF108" s="75"/>
      <c r="UWG108" s="72"/>
      <c r="UWH108" s="68"/>
      <c r="UWI108" s="1"/>
      <c r="UWJ108" s="73"/>
      <c r="UWK108" s="74"/>
      <c r="UWM108" s="75"/>
      <c r="UWP108" s="75"/>
      <c r="UWQ108" s="72"/>
      <c r="UWR108" s="68"/>
      <c r="UWS108" s="1"/>
      <c r="UWT108" s="73"/>
      <c r="UWU108" s="74"/>
      <c r="UWW108" s="75"/>
      <c r="UWZ108" s="75"/>
      <c r="UXA108" s="72"/>
      <c r="UXB108" s="68"/>
      <c r="UXC108" s="1"/>
      <c r="UXD108" s="73"/>
      <c r="UXE108" s="74"/>
      <c r="UXG108" s="75"/>
      <c r="UXJ108" s="75"/>
      <c r="UXK108" s="72"/>
      <c r="UXL108" s="68"/>
      <c r="UXM108" s="1"/>
      <c r="UXN108" s="73"/>
      <c r="UXO108" s="74"/>
      <c r="UXQ108" s="75"/>
      <c r="UXT108" s="75"/>
      <c r="UXU108" s="72"/>
      <c r="UXV108" s="68"/>
      <c r="UXW108" s="1"/>
      <c r="UXX108" s="73"/>
      <c r="UXY108" s="74"/>
      <c r="UYA108" s="75"/>
      <c r="UYD108" s="75"/>
      <c r="UYE108" s="72"/>
      <c r="UYF108" s="68"/>
      <c r="UYG108" s="1"/>
      <c r="UYH108" s="73"/>
      <c r="UYI108" s="74"/>
      <c r="UYK108" s="75"/>
      <c r="UYN108" s="75"/>
      <c r="UYO108" s="72"/>
      <c r="UYP108" s="68"/>
      <c r="UYQ108" s="1"/>
      <c r="UYR108" s="73"/>
      <c r="UYS108" s="74"/>
      <c r="UYU108" s="75"/>
      <c r="UYX108" s="75"/>
      <c r="UYY108" s="72"/>
      <c r="UYZ108" s="68"/>
      <c r="UZA108" s="1"/>
      <c r="UZB108" s="73"/>
      <c r="UZC108" s="74"/>
      <c r="UZE108" s="75"/>
      <c r="UZH108" s="75"/>
      <c r="UZI108" s="72"/>
      <c r="UZJ108" s="68"/>
      <c r="UZK108" s="1"/>
      <c r="UZL108" s="73"/>
      <c r="UZM108" s="74"/>
      <c r="UZO108" s="75"/>
      <c r="UZR108" s="75"/>
      <c r="UZS108" s="72"/>
      <c r="UZT108" s="68"/>
      <c r="UZU108" s="1"/>
      <c r="UZV108" s="73"/>
      <c r="UZW108" s="74"/>
      <c r="UZY108" s="75"/>
      <c r="VAB108" s="75"/>
      <c r="VAC108" s="72"/>
      <c r="VAD108" s="68"/>
      <c r="VAE108" s="1"/>
      <c r="VAF108" s="73"/>
      <c r="VAG108" s="74"/>
      <c r="VAI108" s="75"/>
      <c r="VAL108" s="75"/>
      <c r="VAM108" s="72"/>
      <c r="VAN108" s="68"/>
      <c r="VAO108" s="1"/>
      <c r="VAP108" s="73"/>
      <c r="VAQ108" s="74"/>
      <c r="VAS108" s="75"/>
      <c r="VAV108" s="75"/>
      <c r="VAW108" s="72"/>
      <c r="VAX108" s="68"/>
      <c r="VAY108" s="1"/>
      <c r="VAZ108" s="73"/>
      <c r="VBA108" s="74"/>
      <c r="VBC108" s="75"/>
      <c r="VBF108" s="75"/>
      <c r="VBG108" s="72"/>
      <c r="VBH108" s="68"/>
      <c r="VBI108" s="1"/>
      <c r="VBJ108" s="73"/>
      <c r="VBK108" s="74"/>
      <c r="VBM108" s="75"/>
      <c r="VBP108" s="75"/>
      <c r="VBQ108" s="72"/>
      <c r="VBR108" s="68"/>
      <c r="VBS108" s="1"/>
      <c r="VBT108" s="73"/>
      <c r="VBU108" s="74"/>
      <c r="VBW108" s="75"/>
      <c r="VBZ108" s="75"/>
      <c r="VCA108" s="72"/>
      <c r="VCB108" s="68"/>
      <c r="VCC108" s="1"/>
      <c r="VCD108" s="73"/>
      <c r="VCE108" s="74"/>
      <c r="VCG108" s="75"/>
      <c r="VCJ108" s="75"/>
      <c r="VCK108" s="72"/>
      <c r="VCL108" s="68"/>
      <c r="VCM108" s="1"/>
      <c r="VCN108" s="73"/>
      <c r="VCO108" s="74"/>
      <c r="VCQ108" s="75"/>
      <c r="VCT108" s="75"/>
      <c r="VCU108" s="72"/>
      <c r="VCV108" s="68"/>
      <c r="VCW108" s="1"/>
      <c r="VCX108" s="73"/>
      <c r="VCY108" s="74"/>
      <c r="VDA108" s="75"/>
      <c r="VDD108" s="75"/>
      <c r="VDE108" s="72"/>
      <c r="VDF108" s="68"/>
      <c r="VDG108" s="1"/>
      <c r="VDH108" s="73"/>
      <c r="VDI108" s="74"/>
      <c r="VDK108" s="75"/>
      <c r="VDN108" s="75"/>
      <c r="VDO108" s="72"/>
      <c r="VDP108" s="68"/>
      <c r="VDQ108" s="1"/>
      <c r="VDR108" s="73"/>
      <c r="VDS108" s="74"/>
      <c r="VDU108" s="75"/>
      <c r="VDX108" s="75"/>
      <c r="VDY108" s="72"/>
      <c r="VDZ108" s="68"/>
      <c r="VEA108" s="1"/>
      <c r="VEB108" s="73"/>
      <c r="VEC108" s="74"/>
      <c r="VEE108" s="75"/>
      <c r="VEH108" s="75"/>
      <c r="VEI108" s="72"/>
      <c r="VEJ108" s="68"/>
      <c r="VEK108" s="1"/>
      <c r="VEL108" s="73"/>
      <c r="VEM108" s="74"/>
      <c r="VEO108" s="75"/>
      <c r="VER108" s="75"/>
      <c r="VES108" s="72"/>
      <c r="VET108" s="68"/>
      <c r="VEU108" s="1"/>
      <c r="VEV108" s="73"/>
      <c r="VEW108" s="74"/>
      <c r="VEY108" s="75"/>
      <c r="VFB108" s="75"/>
      <c r="VFC108" s="72"/>
      <c r="VFD108" s="68"/>
      <c r="VFE108" s="1"/>
      <c r="VFF108" s="73"/>
      <c r="VFG108" s="74"/>
      <c r="VFI108" s="75"/>
      <c r="VFL108" s="75"/>
      <c r="VFM108" s="72"/>
      <c r="VFN108" s="68"/>
      <c r="VFO108" s="1"/>
      <c r="VFP108" s="73"/>
      <c r="VFQ108" s="74"/>
      <c r="VFS108" s="75"/>
      <c r="VFV108" s="75"/>
      <c r="VFW108" s="72"/>
      <c r="VFX108" s="68"/>
      <c r="VFY108" s="1"/>
      <c r="VFZ108" s="73"/>
      <c r="VGA108" s="74"/>
      <c r="VGC108" s="75"/>
      <c r="VGF108" s="75"/>
      <c r="VGG108" s="72"/>
      <c r="VGH108" s="68"/>
      <c r="VGI108" s="1"/>
      <c r="VGJ108" s="73"/>
      <c r="VGK108" s="74"/>
      <c r="VGM108" s="75"/>
      <c r="VGP108" s="75"/>
      <c r="VGQ108" s="72"/>
      <c r="VGR108" s="68"/>
      <c r="VGS108" s="1"/>
      <c r="VGT108" s="73"/>
      <c r="VGU108" s="74"/>
      <c r="VGW108" s="75"/>
      <c r="VGZ108" s="75"/>
      <c r="VHA108" s="72"/>
      <c r="VHB108" s="68"/>
      <c r="VHC108" s="1"/>
      <c r="VHD108" s="73"/>
      <c r="VHE108" s="74"/>
      <c r="VHG108" s="75"/>
      <c r="VHJ108" s="75"/>
      <c r="VHK108" s="72"/>
      <c r="VHL108" s="68"/>
      <c r="VHM108" s="1"/>
      <c r="VHN108" s="73"/>
      <c r="VHO108" s="74"/>
      <c r="VHQ108" s="75"/>
      <c r="VHT108" s="75"/>
      <c r="VHU108" s="72"/>
      <c r="VHV108" s="68"/>
      <c r="VHW108" s="1"/>
      <c r="VHX108" s="73"/>
      <c r="VHY108" s="74"/>
      <c r="VIA108" s="75"/>
      <c r="VID108" s="75"/>
      <c r="VIE108" s="72"/>
      <c r="VIF108" s="68"/>
      <c r="VIG108" s="1"/>
      <c r="VIH108" s="73"/>
      <c r="VII108" s="74"/>
      <c r="VIK108" s="75"/>
      <c r="VIN108" s="75"/>
      <c r="VIO108" s="72"/>
      <c r="VIP108" s="68"/>
      <c r="VIQ108" s="1"/>
      <c r="VIR108" s="73"/>
      <c r="VIS108" s="74"/>
      <c r="VIU108" s="75"/>
      <c r="VIX108" s="75"/>
      <c r="VIY108" s="72"/>
      <c r="VIZ108" s="68"/>
      <c r="VJA108" s="1"/>
      <c r="VJB108" s="73"/>
      <c r="VJC108" s="74"/>
      <c r="VJE108" s="75"/>
      <c r="VJH108" s="75"/>
      <c r="VJI108" s="72"/>
      <c r="VJJ108" s="68"/>
      <c r="VJK108" s="1"/>
      <c r="VJL108" s="73"/>
      <c r="VJM108" s="74"/>
      <c r="VJO108" s="75"/>
      <c r="VJR108" s="75"/>
      <c r="VJS108" s="72"/>
      <c r="VJT108" s="68"/>
      <c r="VJU108" s="1"/>
      <c r="VJV108" s="73"/>
      <c r="VJW108" s="74"/>
      <c r="VJY108" s="75"/>
      <c r="VKB108" s="75"/>
      <c r="VKC108" s="72"/>
      <c r="VKD108" s="68"/>
      <c r="VKE108" s="1"/>
      <c r="VKF108" s="73"/>
      <c r="VKG108" s="74"/>
      <c r="VKI108" s="75"/>
      <c r="VKL108" s="75"/>
      <c r="VKM108" s="72"/>
      <c r="VKN108" s="68"/>
      <c r="VKO108" s="1"/>
      <c r="VKP108" s="73"/>
      <c r="VKQ108" s="74"/>
      <c r="VKS108" s="75"/>
      <c r="VKV108" s="75"/>
      <c r="VKW108" s="72"/>
      <c r="VKX108" s="68"/>
      <c r="VKY108" s="1"/>
      <c r="VKZ108" s="73"/>
      <c r="VLA108" s="74"/>
      <c r="VLC108" s="75"/>
      <c r="VLF108" s="75"/>
      <c r="VLG108" s="72"/>
      <c r="VLH108" s="68"/>
      <c r="VLI108" s="1"/>
      <c r="VLJ108" s="73"/>
      <c r="VLK108" s="74"/>
      <c r="VLM108" s="75"/>
      <c r="VLP108" s="75"/>
      <c r="VLQ108" s="72"/>
      <c r="VLR108" s="68"/>
      <c r="VLS108" s="1"/>
      <c r="VLT108" s="73"/>
      <c r="VLU108" s="74"/>
      <c r="VLW108" s="75"/>
      <c r="VLZ108" s="75"/>
      <c r="VMA108" s="72"/>
      <c r="VMB108" s="68"/>
      <c r="VMC108" s="1"/>
      <c r="VMD108" s="73"/>
      <c r="VME108" s="74"/>
      <c r="VMG108" s="75"/>
      <c r="VMJ108" s="75"/>
      <c r="VMK108" s="72"/>
      <c r="VML108" s="68"/>
      <c r="VMM108" s="1"/>
      <c r="VMN108" s="73"/>
      <c r="VMO108" s="74"/>
      <c r="VMQ108" s="75"/>
      <c r="VMT108" s="75"/>
      <c r="VMU108" s="72"/>
      <c r="VMV108" s="68"/>
      <c r="VMW108" s="1"/>
      <c r="VMX108" s="73"/>
      <c r="VMY108" s="74"/>
      <c r="VNA108" s="75"/>
      <c r="VND108" s="75"/>
      <c r="VNE108" s="72"/>
      <c r="VNF108" s="68"/>
      <c r="VNG108" s="1"/>
      <c r="VNH108" s="73"/>
      <c r="VNI108" s="74"/>
      <c r="VNK108" s="75"/>
      <c r="VNN108" s="75"/>
      <c r="VNO108" s="72"/>
      <c r="VNP108" s="68"/>
      <c r="VNQ108" s="1"/>
      <c r="VNR108" s="73"/>
      <c r="VNS108" s="74"/>
      <c r="VNU108" s="75"/>
      <c r="VNX108" s="75"/>
      <c r="VNY108" s="72"/>
      <c r="VNZ108" s="68"/>
      <c r="VOA108" s="1"/>
      <c r="VOB108" s="73"/>
      <c r="VOC108" s="74"/>
      <c r="VOE108" s="75"/>
      <c r="VOH108" s="75"/>
      <c r="VOI108" s="72"/>
      <c r="VOJ108" s="68"/>
      <c r="VOK108" s="1"/>
      <c r="VOL108" s="73"/>
      <c r="VOM108" s="74"/>
      <c r="VOO108" s="75"/>
      <c r="VOR108" s="75"/>
      <c r="VOS108" s="72"/>
      <c r="VOT108" s="68"/>
      <c r="VOU108" s="1"/>
      <c r="VOV108" s="73"/>
      <c r="VOW108" s="74"/>
      <c r="VOY108" s="75"/>
      <c r="VPB108" s="75"/>
      <c r="VPC108" s="72"/>
      <c r="VPD108" s="68"/>
      <c r="VPE108" s="1"/>
      <c r="VPF108" s="73"/>
      <c r="VPG108" s="74"/>
      <c r="VPI108" s="75"/>
      <c r="VPL108" s="75"/>
      <c r="VPM108" s="72"/>
      <c r="VPN108" s="68"/>
      <c r="VPO108" s="1"/>
      <c r="VPP108" s="73"/>
      <c r="VPQ108" s="74"/>
      <c r="VPS108" s="75"/>
      <c r="VPV108" s="75"/>
      <c r="VPW108" s="72"/>
      <c r="VPX108" s="68"/>
      <c r="VPY108" s="1"/>
      <c r="VPZ108" s="73"/>
      <c r="VQA108" s="74"/>
      <c r="VQC108" s="75"/>
      <c r="VQF108" s="75"/>
      <c r="VQG108" s="72"/>
      <c r="VQH108" s="68"/>
      <c r="VQI108" s="1"/>
      <c r="VQJ108" s="73"/>
      <c r="VQK108" s="74"/>
      <c r="VQM108" s="75"/>
      <c r="VQP108" s="75"/>
      <c r="VQQ108" s="72"/>
      <c r="VQR108" s="68"/>
      <c r="VQS108" s="1"/>
      <c r="VQT108" s="73"/>
      <c r="VQU108" s="74"/>
      <c r="VQW108" s="75"/>
      <c r="VQZ108" s="75"/>
      <c r="VRA108" s="72"/>
      <c r="VRB108" s="68"/>
      <c r="VRC108" s="1"/>
      <c r="VRD108" s="73"/>
      <c r="VRE108" s="74"/>
      <c r="VRG108" s="75"/>
      <c r="VRJ108" s="75"/>
      <c r="VRK108" s="72"/>
      <c r="VRL108" s="68"/>
      <c r="VRM108" s="1"/>
      <c r="VRN108" s="73"/>
      <c r="VRO108" s="74"/>
      <c r="VRQ108" s="75"/>
      <c r="VRT108" s="75"/>
      <c r="VRU108" s="72"/>
      <c r="VRV108" s="68"/>
      <c r="VRW108" s="1"/>
      <c r="VRX108" s="73"/>
      <c r="VRY108" s="74"/>
      <c r="VSA108" s="75"/>
      <c r="VSD108" s="75"/>
      <c r="VSE108" s="72"/>
      <c r="VSF108" s="68"/>
      <c r="VSG108" s="1"/>
      <c r="VSH108" s="73"/>
      <c r="VSI108" s="74"/>
      <c r="VSK108" s="75"/>
      <c r="VSN108" s="75"/>
      <c r="VSO108" s="72"/>
      <c r="VSP108" s="68"/>
      <c r="VSQ108" s="1"/>
      <c r="VSR108" s="73"/>
      <c r="VSS108" s="74"/>
      <c r="VSU108" s="75"/>
      <c r="VSX108" s="75"/>
      <c r="VSY108" s="72"/>
      <c r="VSZ108" s="68"/>
      <c r="VTA108" s="1"/>
      <c r="VTB108" s="73"/>
      <c r="VTC108" s="74"/>
      <c r="VTE108" s="75"/>
      <c r="VTH108" s="75"/>
      <c r="VTI108" s="72"/>
      <c r="VTJ108" s="68"/>
      <c r="VTK108" s="1"/>
      <c r="VTL108" s="73"/>
      <c r="VTM108" s="74"/>
      <c r="VTO108" s="75"/>
      <c r="VTR108" s="75"/>
      <c r="VTS108" s="72"/>
      <c r="VTT108" s="68"/>
      <c r="VTU108" s="1"/>
      <c r="VTV108" s="73"/>
      <c r="VTW108" s="74"/>
      <c r="VTY108" s="75"/>
      <c r="VUB108" s="75"/>
      <c r="VUC108" s="72"/>
      <c r="VUD108" s="68"/>
      <c r="VUE108" s="1"/>
      <c r="VUF108" s="73"/>
      <c r="VUG108" s="74"/>
      <c r="VUI108" s="75"/>
      <c r="VUL108" s="75"/>
      <c r="VUM108" s="72"/>
      <c r="VUN108" s="68"/>
      <c r="VUO108" s="1"/>
      <c r="VUP108" s="73"/>
      <c r="VUQ108" s="74"/>
      <c r="VUS108" s="75"/>
      <c r="VUV108" s="75"/>
      <c r="VUW108" s="72"/>
      <c r="VUX108" s="68"/>
      <c r="VUY108" s="1"/>
      <c r="VUZ108" s="73"/>
      <c r="VVA108" s="74"/>
      <c r="VVC108" s="75"/>
      <c r="VVF108" s="75"/>
      <c r="VVG108" s="72"/>
      <c r="VVH108" s="68"/>
      <c r="VVI108" s="1"/>
      <c r="VVJ108" s="73"/>
      <c r="VVK108" s="74"/>
      <c r="VVM108" s="75"/>
      <c r="VVP108" s="75"/>
      <c r="VVQ108" s="72"/>
      <c r="VVR108" s="68"/>
      <c r="VVS108" s="1"/>
      <c r="VVT108" s="73"/>
      <c r="VVU108" s="74"/>
      <c r="VVW108" s="75"/>
      <c r="VVZ108" s="75"/>
      <c r="VWA108" s="72"/>
      <c r="VWB108" s="68"/>
      <c r="VWC108" s="1"/>
      <c r="VWD108" s="73"/>
      <c r="VWE108" s="74"/>
      <c r="VWG108" s="75"/>
      <c r="VWJ108" s="75"/>
      <c r="VWK108" s="72"/>
      <c r="VWL108" s="68"/>
      <c r="VWM108" s="1"/>
      <c r="VWN108" s="73"/>
      <c r="VWO108" s="74"/>
      <c r="VWQ108" s="75"/>
      <c r="VWT108" s="75"/>
      <c r="VWU108" s="72"/>
      <c r="VWV108" s="68"/>
      <c r="VWW108" s="1"/>
      <c r="VWX108" s="73"/>
      <c r="VWY108" s="74"/>
      <c r="VXA108" s="75"/>
      <c r="VXD108" s="75"/>
      <c r="VXE108" s="72"/>
      <c r="VXF108" s="68"/>
      <c r="VXG108" s="1"/>
      <c r="VXH108" s="73"/>
      <c r="VXI108" s="74"/>
      <c r="VXK108" s="75"/>
      <c r="VXN108" s="75"/>
      <c r="VXO108" s="72"/>
      <c r="VXP108" s="68"/>
      <c r="VXQ108" s="1"/>
      <c r="VXR108" s="73"/>
      <c r="VXS108" s="74"/>
      <c r="VXU108" s="75"/>
      <c r="VXX108" s="75"/>
      <c r="VXY108" s="72"/>
      <c r="VXZ108" s="68"/>
      <c r="VYA108" s="1"/>
      <c r="VYB108" s="73"/>
      <c r="VYC108" s="74"/>
      <c r="VYE108" s="75"/>
      <c r="VYH108" s="75"/>
      <c r="VYI108" s="72"/>
      <c r="VYJ108" s="68"/>
      <c r="VYK108" s="1"/>
      <c r="VYL108" s="73"/>
      <c r="VYM108" s="74"/>
      <c r="VYO108" s="75"/>
      <c r="VYR108" s="75"/>
      <c r="VYS108" s="72"/>
      <c r="VYT108" s="68"/>
      <c r="VYU108" s="1"/>
      <c r="VYV108" s="73"/>
      <c r="VYW108" s="74"/>
      <c r="VYY108" s="75"/>
      <c r="VZB108" s="75"/>
      <c r="VZC108" s="72"/>
      <c r="VZD108" s="68"/>
      <c r="VZE108" s="1"/>
      <c r="VZF108" s="73"/>
      <c r="VZG108" s="74"/>
      <c r="VZI108" s="75"/>
      <c r="VZL108" s="75"/>
      <c r="VZM108" s="72"/>
      <c r="VZN108" s="68"/>
      <c r="VZO108" s="1"/>
      <c r="VZP108" s="73"/>
      <c r="VZQ108" s="74"/>
      <c r="VZS108" s="75"/>
      <c r="VZV108" s="75"/>
      <c r="VZW108" s="72"/>
      <c r="VZX108" s="68"/>
      <c r="VZY108" s="1"/>
      <c r="VZZ108" s="73"/>
      <c r="WAA108" s="74"/>
      <c r="WAC108" s="75"/>
      <c r="WAF108" s="75"/>
      <c r="WAG108" s="72"/>
      <c r="WAH108" s="68"/>
      <c r="WAI108" s="1"/>
      <c r="WAJ108" s="73"/>
      <c r="WAK108" s="74"/>
      <c r="WAM108" s="75"/>
      <c r="WAP108" s="75"/>
      <c r="WAQ108" s="72"/>
      <c r="WAR108" s="68"/>
      <c r="WAS108" s="1"/>
      <c r="WAT108" s="73"/>
      <c r="WAU108" s="74"/>
      <c r="WAW108" s="75"/>
      <c r="WAZ108" s="75"/>
      <c r="WBA108" s="72"/>
      <c r="WBB108" s="68"/>
      <c r="WBC108" s="1"/>
      <c r="WBD108" s="73"/>
      <c r="WBE108" s="74"/>
      <c r="WBG108" s="75"/>
      <c r="WBJ108" s="75"/>
      <c r="WBK108" s="72"/>
      <c r="WBL108" s="68"/>
      <c r="WBM108" s="1"/>
      <c r="WBN108" s="73"/>
      <c r="WBO108" s="74"/>
      <c r="WBQ108" s="75"/>
      <c r="WBT108" s="75"/>
      <c r="WBU108" s="72"/>
      <c r="WBV108" s="68"/>
      <c r="WBW108" s="1"/>
      <c r="WBX108" s="73"/>
      <c r="WBY108" s="74"/>
      <c r="WCA108" s="75"/>
      <c r="WCD108" s="75"/>
      <c r="WCE108" s="72"/>
      <c r="WCF108" s="68"/>
      <c r="WCG108" s="1"/>
      <c r="WCH108" s="73"/>
      <c r="WCI108" s="74"/>
      <c r="WCK108" s="75"/>
      <c r="WCN108" s="75"/>
      <c r="WCO108" s="72"/>
      <c r="WCP108" s="68"/>
      <c r="WCQ108" s="1"/>
      <c r="WCR108" s="73"/>
      <c r="WCS108" s="74"/>
      <c r="WCU108" s="75"/>
      <c r="WCX108" s="75"/>
      <c r="WCY108" s="72"/>
      <c r="WCZ108" s="68"/>
      <c r="WDA108" s="1"/>
      <c r="WDB108" s="73"/>
      <c r="WDC108" s="74"/>
      <c r="WDE108" s="75"/>
      <c r="WDH108" s="75"/>
      <c r="WDI108" s="72"/>
      <c r="WDJ108" s="68"/>
      <c r="WDK108" s="1"/>
      <c r="WDL108" s="73"/>
      <c r="WDM108" s="74"/>
      <c r="WDO108" s="75"/>
      <c r="WDR108" s="75"/>
      <c r="WDS108" s="72"/>
      <c r="WDT108" s="68"/>
      <c r="WDU108" s="1"/>
      <c r="WDV108" s="73"/>
      <c r="WDW108" s="74"/>
      <c r="WDY108" s="75"/>
      <c r="WEB108" s="75"/>
      <c r="WEC108" s="72"/>
      <c r="WED108" s="68"/>
      <c r="WEE108" s="1"/>
      <c r="WEF108" s="73"/>
      <c r="WEG108" s="74"/>
      <c r="WEI108" s="75"/>
      <c r="WEL108" s="75"/>
      <c r="WEM108" s="72"/>
      <c r="WEN108" s="68"/>
      <c r="WEO108" s="1"/>
      <c r="WEP108" s="73"/>
      <c r="WEQ108" s="74"/>
      <c r="WES108" s="75"/>
      <c r="WEV108" s="75"/>
      <c r="WEW108" s="72"/>
      <c r="WEX108" s="68"/>
      <c r="WEY108" s="1"/>
      <c r="WEZ108" s="73"/>
      <c r="WFA108" s="74"/>
      <c r="WFC108" s="75"/>
      <c r="WFF108" s="75"/>
      <c r="WFG108" s="72"/>
      <c r="WFH108" s="68"/>
      <c r="WFI108" s="1"/>
      <c r="WFJ108" s="73"/>
      <c r="WFK108" s="74"/>
      <c r="WFM108" s="75"/>
      <c r="WFP108" s="75"/>
      <c r="WFQ108" s="72"/>
      <c r="WFR108" s="68"/>
      <c r="WFS108" s="1"/>
      <c r="WFT108" s="73"/>
      <c r="WFU108" s="74"/>
      <c r="WFW108" s="75"/>
      <c r="WFZ108" s="75"/>
      <c r="WGA108" s="72"/>
      <c r="WGB108" s="68"/>
      <c r="WGC108" s="1"/>
      <c r="WGD108" s="73"/>
      <c r="WGE108" s="74"/>
      <c r="WGG108" s="75"/>
      <c r="WGJ108" s="75"/>
      <c r="WGK108" s="72"/>
      <c r="WGL108" s="68"/>
      <c r="WGM108" s="1"/>
      <c r="WGN108" s="73"/>
      <c r="WGO108" s="74"/>
      <c r="WGQ108" s="75"/>
      <c r="WGT108" s="75"/>
      <c r="WGU108" s="72"/>
      <c r="WGV108" s="68"/>
      <c r="WGW108" s="1"/>
      <c r="WGX108" s="73"/>
      <c r="WGY108" s="74"/>
      <c r="WHA108" s="75"/>
      <c r="WHD108" s="75"/>
      <c r="WHE108" s="72"/>
      <c r="WHF108" s="68"/>
      <c r="WHG108" s="1"/>
      <c r="WHH108" s="73"/>
      <c r="WHI108" s="74"/>
      <c r="WHK108" s="75"/>
      <c r="WHN108" s="75"/>
      <c r="WHO108" s="72"/>
      <c r="WHP108" s="68"/>
      <c r="WHQ108" s="1"/>
      <c r="WHR108" s="73"/>
      <c r="WHS108" s="74"/>
      <c r="WHU108" s="75"/>
      <c r="WHX108" s="75"/>
      <c r="WHY108" s="72"/>
      <c r="WHZ108" s="68"/>
      <c r="WIA108" s="1"/>
      <c r="WIB108" s="73"/>
      <c r="WIC108" s="74"/>
      <c r="WIE108" s="75"/>
      <c r="WIH108" s="75"/>
      <c r="WII108" s="72"/>
      <c r="WIJ108" s="68"/>
      <c r="WIK108" s="1"/>
      <c r="WIL108" s="73"/>
      <c r="WIM108" s="74"/>
      <c r="WIO108" s="75"/>
      <c r="WIR108" s="75"/>
      <c r="WIS108" s="72"/>
      <c r="WIT108" s="68"/>
      <c r="WIU108" s="1"/>
      <c r="WIV108" s="73"/>
      <c r="WIW108" s="74"/>
      <c r="WIY108" s="75"/>
      <c r="WJB108" s="75"/>
      <c r="WJC108" s="72"/>
      <c r="WJD108" s="68"/>
      <c r="WJE108" s="1"/>
      <c r="WJF108" s="73"/>
      <c r="WJG108" s="74"/>
      <c r="WJI108" s="75"/>
      <c r="WJL108" s="75"/>
      <c r="WJM108" s="72"/>
      <c r="WJN108" s="68"/>
      <c r="WJO108" s="1"/>
      <c r="WJP108" s="73"/>
      <c r="WJQ108" s="74"/>
      <c r="WJS108" s="75"/>
      <c r="WJV108" s="75"/>
      <c r="WJW108" s="72"/>
      <c r="WJX108" s="68"/>
      <c r="WJY108" s="1"/>
      <c r="WJZ108" s="73"/>
      <c r="WKA108" s="74"/>
      <c r="WKC108" s="75"/>
      <c r="WKF108" s="75"/>
      <c r="WKG108" s="72"/>
      <c r="WKH108" s="68"/>
      <c r="WKI108" s="1"/>
      <c r="WKJ108" s="73"/>
      <c r="WKK108" s="74"/>
      <c r="WKM108" s="75"/>
      <c r="WKP108" s="75"/>
      <c r="WKQ108" s="72"/>
      <c r="WKR108" s="68"/>
      <c r="WKS108" s="1"/>
      <c r="WKT108" s="73"/>
      <c r="WKU108" s="74"/>
      <c r="WKW108" s="75"/>
      <c r="WKZ108" s="75"/>
      <c r="WLA108" s="72"/>
      <c r="WLB108" s="68"/>
      <c r="WLC108" s="1"/>
      <c r="WLD108" s="73"/>
      <c r="WLE108" s="74"/>
      <c r="WLG108" s="75"/>
      <c r="WLJ108" s="75"/>
      <c r="WLK108" s="72"/>
      <c r="WLL108" s="68"/>
      <c r="WLM108" s="1"/>
      <c r="WLN108" s="73"/>
      <c r="WLO108" s="74"/>
      <c r="WLQ108" s="75"/>
      <c r="WLT108" s="75"/>
      <c r="WLU108" s="72"/>
      <c r="WLV108" s="68"/>
      <c r="WLW108" s="1"/>
      <c r="WLX108" s="73"/>
      <c r="WLY108" s="74"/>
      <c r="WMA108" s="75"/>
      <c r="WMD108" s="75"/>
      <c r="WME108" s="72"/>
      <c r="WMF108" s="68"/>
      <c r="WMG108" s="1"/>
      <c r="WMH108" s="73"/>
      <c r="WMI108" s="74"/>
      <c r="WMK108" s="75"/>
      <c r="WMN108" s="75"/>
      <c r="WMO108" s="72"/>
      <c r="WMP108" s="68"/>
      <c r="WMQ108" s="1"/>
      <c r="WMR108" s="73"/>
      <c r="WMS108" s="74"/>
      <c r="WMU108" s="75"/>
      <c r="WMX108" s="75"/>
      <c r="WMY108" s="72"/>
      <c r="WMZ108" s="68"/>
      <c r="WNA108" s="1"/>
      <c r="WNB108" s="73"/>
      <c r="WNC108" s="74"/>
      <c r="WNE108" s="75"/>
      <c r="WNH108" s="75"/>
      <c r="WNI108" s="72"/>
      <c r="WNJ108" s="68"/>
      <c r="WNK108" s="1"/>
      <c r="WNL108" s="73"/>
      <c r="WNM108" s="74"/>
      <c r="WNO108" s="75"/>
      <c r="WNR108" s="75"/>
      <c r="WNS108" s="72"/>
      <c r="WNT108" s="68"/>
      <c r="WNU108" s="1"/>
      <c r="WNV108" s="73"/>
      <c r="WNW108" s="74"/>
      <c r="WNY108" s="75"/>
      <c r="WOB108" s="75"/>
      <c r="WOC108" s="72"/>
      <c r="WOD108" s="68"/>
      <c r="WOE108" s="1"/>
      <c r="WOF108" s="73"/>
      <c r="WOG108" s="74"/>
      <c r="WOI108" s="75"/>
      <c r="WOL108" s="75"/>
      <c r="WOM108" s="72"/>
      <c r="WON108" s="68"/>
      <c r="WOO108" s="1"/>
      <c r="WOP108" s="73"/>
      <c r="WOQ108" s="74"/>
      <c r="WOS108" s="75"/>
      <c r="WOV108" s="75"/>
      <c r="WOW108" s="72"/>
      <c r="WOX108" s="68"/>
      <c r="WOY108" s="1"/>
      <c r="WOZ108" s="73"/>
      <c r="WPA108" s="74"/>
      <c r="WPC108" s="75"/>
      <c r="WPF108" s="75"/>
      <c r="WPG108" s="72"/>
      <c r="WPH108" s="68"/>
      <c r="WPI108" s="1"/>
      <c r="WPJ108" s="73"/>
      <c r="WPK108" s="74"/>
      <c r="WPM108" s="75"/>
      <c r="WPP108" s="75"/>
      <c r="WPQ108" s="72"/>
      <c r="WPR108" s="68"/>
      <c r="WPS108" s="1"/>
      <c r="WPT108" s="73"/>
      <c r="WPU108" s="74"/>
      <c r="WPW108" s="75"/>
      <c r="WPZ108" s="75"/>
      <c r="WQA108" s="72"/>
      <c r="WQB108" s="68"/>
      <c r="WQC108" s="1"/>
      <c r="WQD108" s="73"/>
      <c r="WQE108" s="74"/>
      <c r="WQG108" s="75"/>
      <c r="WQJ108" s="75"/>
      <c r="WQK108" s="72"/>
      <c r="WQL108" s="68"/>
      <c r="WQM108" s="1"/>
      <c r="WQN108" s="73"/>
      <c r="WQO108" s="74"/>
      <c r="WQQ108" s="75"/>
      <c r="WQT108" s="75"/>
      <c r="WQU108" s="72"/>
      <c r="WQV108" s="68"/>
      <c r="WQW108" s="1"/>
      <c r="WQX108" s="73"/>
      <c r="WQY108" s="74"/>
      <c r="WRA108" s="75"/>
      <c r="WRD108" s="75"/>
      <c r="WRE108" s="72"/>
      <c r="WRF108" s="68"/>
      <c r="WRG108" s="1"/>
      <c r="WRH108" s="73"/>
      <c r="WRI108" s="74"/>
      <c r="WRK108" s="75"/>
      <c r="WRN108" s="75"/>
      <c r="WRO108" s="72"/>
      <c r="WRP108" s="68"/>
      <c r="WRQ108" s="1"/>
      <c r="WRR108" s="73"/>
      <c r="WRS108" s="74"/>
      <c r="WRU108" s="75"/>
      <c r="WRX108" s="75"/>
      <c r="WRY108" s="72"/>
      <c r="WRZ108" s="68"/>
      <c r="WSA108" s="1"/>
      <c r="WSB108" s="73"/>
      <c r="WSC108" s="74"/>
      <c r="WSE108" s="75"/>
      <c r="WSH108" s="75"/>
      <c r="WSI108" s="72"/>
      <c r="WSJ108" s="68"/>
      <c r="WSK108" s="1"/>
      <c r="WSL108" s="73"/>
      <c r="WSM108" s="74"/>
      <c r="WSO108" s="75"/>
      <c r="WSR108" s="75"/>
      <c r="WSS108" s="72"/>
      <c r="WST108" s="68"/>
      <c r="WSU108" s="1"/>
      <c r="WSV108" s="73"/>
      <c r="WSW108" s="74"/>
      <c r="WSY108" s="75"/>
      <c r="WTB108" s="75"/>
      <c r="WTC108" s="72"/>
      <c r="WTD108" s="68"/>
      <c r="WTE108" s="1"/>
      <c r="WTF108" s="73"/>
      <c r="WTG108" s="74"/>
      <c r="WTI108" s="75"/>
      <c r="WTL108" s="75"/>
      <c r="WTM108" s="72"/>
      <c r="WTN108" s="68"/>
      <c r="WTO108" s="1"/>
      <c r="WTP108" s="73"/>
      <c r="WTQ108" s="74"/>
      <c r="WTS108" s="75"/>
      <c r="WTV108" s="75"/>
      <c r="WTW108" s="72"/>
      <c r="WTX108" s="68"/>
      <c r="WTY108" s="1"/>
      <c r="WTZ108" s="73"/>
      <c r="WUA108" s="74"/>
      <c r="WUC108" s="75"/>
      <c r="WUF108" s="75"/>
      <c r="WUG108" s="72"/>
      <c r="WUH108" s="68"/>
      <c r="WUI108" s="1"/>
      <c r="WUJ108" s="73"/>
      <c r="WUK108" s="74"/>
      <c r="WUM108" s="75"/>
      <c r="WUP108" s="75"/>
      <c r="WUQ108" s="72"/>
      <c r="WUR108" s="68"/>
      <c r="WUS108" s="1"/>
      <c r="WUT108" s="73"/>
      <c r="WUU108" s="74"/>
      <c r="WUW108" s="75"/>
      <c r="WUZ108" s="75"/>
      <c r="WVA108" s="72"/>
      <c r="WVB108" s="68"/>
      <c r="WVC108" s="1"/>
      <c r="WVD108" s="73"/>
      <c r="WVE108" s="74"/>
      <c r="WVG108" s="75"/>
      <c r="WVJ108" s="75"/>
      <c r="WVK108" s="72"/>
      <c r="WVL108" s="68"/>
      <c r="WVM108" s="1"/>
      <c r="WVN108" s="73"/>
      <c r="WVO108" s="74"/>
      <c r="WVQ108" s="75"/>
      <c r="WVT108" s="75"/>
      <c r="WVU108" s="72"/>
      <c r="WVV108" s="68"/>
      <c r="WVW108" s="1"/>
      <c r="WVX108" s="73"/>
      <c r="WVY108" s="74"/>
      <c r="WWA108" s="75"/>
      <c r="WWD108" s="75"/>
      <c r="WWE108" s="72"/>
      <c r="WWF108" s="68"/>
      <c r="WWG108" s="1"/>
      <c r="WWH108" s="73"/>
      <c r="WWI108" s="74"/>
      <c r="WWK108" s="75"/>
      <c r="WWN108" s="75"/>
      <c r="WWO108" s="72"/>
      <c r="WWP108" s="68"/>
      <c r="WWQ108" s="1"/>
      <c r="WWR108" s="73"/>
      <c r="WWS108" s="74"/>
      <c r="WWU108" s="75"/>
      <c r="WWX108" s="75"/>
      <c r="WWY108" s="72"/>
      <c r="WWZ108" s="68"/>
      <c r="WXA108" s="1"/>
      <c r="WXB108" s="73"/>
      <c r="WXC108" s="74"/>
      <c r="WXE108" s="75"/>
      <c r="WXH108" s="75"/>
      <c r="WXI108" s="72"/>
      <c r="WXJ108" s="68"/>
      <c r="WXK108" s="1"/>
      <c r="WXL108" s="73"/>
      <c r="WXM108" s="74"/>
      <c r="WXO108" s="75"/>
      <c r="WXR108" s="75"/>
      <c r="WXS108" s="72"/>
      <c r="WXT108" s="68"/>
      <c r="WXU108" s="1"/>
      <c r="WXV108" s="73"/>
      <c r="WXW108" s="74"/>
      <c r="WXY108" s="75"/>
      <c r="WYB108" s="75"/>
      <c r="WYC108" s="72"/>
      <c r="WYD108" s="68"/>
      <c r="WYE108" s="1"/>
      <c r="WYF108" s="73"/>
      <c r="WYG108" s="74"/>
      <c r="WYI108" s="75"/>
      <c r="WYL108" s="75"/>
      <c r="WYM108" s="72"/>
      <c r="WYN108" s="68"/>
      <c r="WYO108" s="1"/>
      <c r="WYP108" s="73"/>
      <c r="WYQ108" s="74"/>
      <c r="WYS108" s="75"/>
      <c r="WYV108" s="75"/>
      <c r="WYW108" s="72"/>
      <c r="WYX108" s="68"/>
      <c r="WYY108" s="1"/>
      <c r="WYZ108" s="73"/>
      <c r="WZA108" s="74"/>
      <c r="WZC108" s="75"/>
      <c r="WZF108" s="75"/>
      <c r="WZG108" s="72"/>
      <c r="WZH108" s="68"/>
      <c r="WZI108" s="1"/>
      <c r="WZJ108" s="73"/>
      <c r="WZK108" s="74"/>
      <c r="WZM108" s="75"/>
      <c r="WZP108" s="75"/>
      <c r="WZQ108" s="72"/>
      <c r="WZR108" s="68"/>
      <c r="WZS108" s="1"/>
      <c r="WZT108" s="73"/>
      <c r="WZU108" s="74"/>
      <c r="WZW108" s="75"/>
      <c r="WZZ108" s="75"/>
      <c r="XAA108" s="72"/>
      <c r="XAB108" s="68"/>
      <c r="XAC108" s="1"/>
      <c r="XAD108" s="73"/>
      <c r="XAE108" s="74"/>
      <c r="XAG108" s="75"/>
      <c r="XAJ108" s="75"/>
      <c r="XAK108" s="72"/>
      <c r="XAL108" s="68"/>
      <c r="XAM108" s="1"/>
      <c r="XAN108" s="73"/>
      <c r="XAO108" s="74"/>
      <c r="XAQ108" s="75"/>
      <c r="XAT108" s="75"/>
      <c r="XAU108" s="72"/>
      <c r="XAV108" s="68"/>
      <c r="XAW108" s="1"/>
      <c r="XAX108" s="73"/>
      <c r="XAY108" s="74"/>
      <c r="XBA108" s="75"/>
      <c r="XBD108" s="75"/>
      <c r="XBE108" s="72"/>
      <c r="XBF108" s="68"/>
      <c r="XBG108" s="1"/>
      <c r="XBH108" s="73"/>
      <c r="XBI108" s="74"/>
      <c r="XBK108" s="75"/>
      <c r="XBN108" s="75"/>
      <c r="XBO108" s="72"/>
      <c r="XBP108" s="68"/>
      <c r="XBQ108" s="1"/>
      <c r="XBR108" s="73"/>
      <c r="XBS108" s="74"/>
      <c r="XBU108" s="75"/>
      <c r="XBX108" s="75"/>
      <c r="XBY108" s="72"/>
      <c r="XBZ108" s="68"/>
      <c r="XCA108" s="1"/>
      <c r="XCB108" s="73"/>
      <c r="XCC108" s="74"/>
      <c r="XCE108" s="75"/>
      <c r="XCH108" s="75"/>
      <c r="XCI108" s="72"/>
      <c r="XCJ108" s="68"/>
      <c r="XCK108" s="1"/>
      <c r="XCL108" s="73"/>
      <c r="XCM108" s="74"/>
      <c r="XCO108" s="75"/>
      <c r="XCR108" s="75"/>
      <c r="XCS108" s="72"/>
      <c r="XCT108" s="68"/>
      <c r="XCU108" s="1"/>
      <c r="XCV108" s="73"/>
      <c r="XCW108" s="74"/>
      <c r="XCY108" s="75"/>
      <c r="XDB108" s="75"/>
      <c r="XDC108" s="72"/>
      <c r="XDD108" s="68"/>
      <c r="XDE108" s="1"/>
      <c r="XDF108" s="73"/>
      <c r="XDG108" s="74"/>
      <c r="XDI108" s="75"/>
      <c r="XDL108" s="75"/>
      <c r="XDM108" s="72"/>
      <c r="XDN108" s="68"/>
      <c r="XDO108" s="1"/>
      <c r="XDP108" s="73"/>
      <c r="XDQ108" s="74"/>
      <c r="XDS108" s="75"/>
      <c r="XDV108" s="75"/>
      <c r="XDW108" s="72"/>
      <c r="XDX108" s="68"/>
      <c r="XDY108" s="1"/>
      <c r="XDZ108" s="73"/>
      <c r="XEA108" s="74"/>
      <c r="XEC108" s="75"/>
      <c r="XEF108" s="75"/>
      <c r="XEG108" s="72"/>
      <c r="XEH108" s="68"/>
      <c r="XEI108" s="1"/>
      <c r="XEJ108" s="73"/>
      <c r="XEK108" s="74"/>
      <c r="XEM108" s="75"/>
      <c r="XEP108" s="75"/>
      <c r="XEQ108" s="72"/>
      <c r="XER108" s="68"/>
      <c r="XES108" s="1"/>
      <c r="XET108" s="73"/>
      <c r="XEU108" s="74"/>
      <c r="XEW108" s="75"/>
      <c r="XEZ108" s="75"/>
      <c r="XFA108" s="72"/>
      <c r="XFB108" s="68"/>
      <c r="XFC108" s="1"/>
      <c r="XFD108" s="73"/>
    </row>
    <row r="109" customFormat="false" ht="16.5" hidden="false" customHeight="true" outlineLevel="0" collapsed="false">
      <c r="A109" s="72" t="n">
        <v>45889</v>
      </c>
      <c r="B109" s="68"/>
      <c r="D109" s="73" t="n">
        <v>0.587646238425926</v>
      </c>
      <c r="E109" s="74" t="n">
        <v>58359.0728236849</v>
      </c>
      <c r="F109" s="21" t="n">
        <v>146660.9769952</v>
      </c>
      <c r="G109" s="75" t="n">
        <v>0.660903899765626</v>
      </c>
      <c r="H109" s="21" t="n">
        <v>100388.892823685</v>
      </c>
      <c r="I109" s="21" t="n">
        <v>191193.2969952</v>
      </c>
      <c r="J109" s="75" t="n">
        <v>1.10555092277315</v>
      </c>
    </row>
    <row r="110" customFormat="false" ht="16.5" hidden="false" customHeight="true" outlineLevel="0" collapsed="false">
      <c r="A110" s="72" t="n">
        <v>45888</v>
      </c>
      <c r="B110" s="68"/>
      <c r="D110" s="73" t="n">
        <v>0.754309027777778</v>
      </c>
      <c r="E110" s="74" t="n">
        <v>58900.8721624849</v>
      </c>
      <c r="F110" s="21" t="n">
        <v>147202.782454</v>
      </c>
      <c r="G110" s="75" t="n">
        <v>0.667039614069874</v>
      </c>
      <c r="H110" s="21" t="n">
        <v>101888.292162485</v>
      </c>
      <c r="I110" s="21" t="n">
        <v>192692.702454</v>
      </c>
      <c r="J110" s="75" t="n">
        <v>1.12206325480653</v>
      </c>
    </row>
    <row r="111" customFormat="false" ht="16.5" hidden="false" customHeight="true" outlineLevel="0" collapsed="false">
      <c r="A111" s="72" t="n">
        <v>45887</v>
      </c>
      <c r="B111" s="68"/>
      <c r="D111" s="73" t="n">
        <v>0.562949560185185</v>
      </c>
      <c r="E111" s="74" t="n">
        <v>62960.2818664849</v>
      </c>
      <c r="F111" s="21" t="n">
        <v>151262.354593</v>
      </c>
      <c r="G111" s="75" t="n">
        <v>0.713010237726609</v>
      </c>
      <c r="H111" s="21" t="n">
        <v>105470.161866485</v>
      </c>
      <c r="I111" s="21" t="n">
        <v>196274.734593</v>
      </c>
      <c r="J111" s="75" t="n">
        <v>1.16150716532899</v>
      </c>
    </row>
    <row r="112" customFormat="false" ht="16.5" hidden="false" customHeight="true" outlineLevel="0" collapsed="false">
      <c r="A112" s="72" t="n">
        <v>45884</v>
      </c>
      <c r="B112" s="68"/>
      <c r="D112" s="73" t="n">
        <v>0.758228020833333</v>
      </c>
      <c r="E112" s="74" t="n">
        <v>63659.3705192849</v>
      </c>
      <c r="F112" s="21" t="n">
        <v>151961.4034658</v>
      </c>
      <c r="G112" s="75" t="n">
        <v>0.720927575448275</v>
      </c>
      <c r="H112" s="21" t="n">
        <v>105868.110519285</v>
      </c>
      <c r="I112" s="21" t="n">
        <v>196672.6434658</v>
      </c>
      <c r="J112" s="75" t="n">
        <v>1.16589014979728</v>
      </c>
    </row>
    <row r="113" customFormat="false" ht="16.5" hidden="false" customHeight="true" outlineLevel="0" collapsed="false">
      <c r="A113" s="72" t="n">
        <v>45883</v>
      </c>
      <c r="B113" s="68"/>
      <c r="D113" s="73" t="n">
        <v>0.66249181712963</v>
      </c>
      <c r="E113" s="74" t="n">
        <v>64177.1035003849</v>
      </c>
      <c r="F113" s="21" t="n">
        <v>152438.1264819</v>
      </c>
      <c r="G113" s="75" t="n">
        <v>0.727128480187974</v>
      </c>
      <c r="H113" s="21" t="n">
        <v>105595.823500385</v>
      </c>
      <c r="I113" s="21" t="n">
        <v>196359.3464819</v>
      </c>
      <c r="J113" s="75" t="n">
        <v>1.16341697668446</v>
      </c>
    </row>
    <row r="114" customFormat="false" ht="16.5" hidden="false" customHeight="true" outlineLevel="0" collapsed="false">
      <c r="A114" s="72" t="n">
        <v>45882</v>
      </c>
      <c r="B114" s="68"/>
      <c r="D114" s="73" t="n">
        <v>0.563510023148148</v>
      </c>
      <c r="E114" s="74" t="n">
        <v>63828.7569564849</v>
      </c>
      <c r="F114" s="21" t="n">
        <v>152089.767953</v>
      </c>
      <c r="G114" s="75" t="n">
        <v>0.723181801747151</v>
      </c>
      <c r="H114" s="21" t="n">
        <v>105561.216956485</v>
      </c>
      <c r="I114" s="21" t="n">
        <v>196324.727953</v>
      </c>
      <c r="J114" s="75" t="n">
        <v>1.16303584774875</v>
      </c>
    </row>
    <row r="115" customFormat="false" ht="16.5" hidden="false" customHeight="true" outlineLevel="0" collapsed="false">
      <c r="A115" s="72" t="n">
        <v>45881</v>
      </c>
      <c r="B115" s="68"/>
      <c r="D115" s="73" t="n">
        <v>0.69289056712963</v>
      </c>
      <c r="E115" s="74" t="n">
        <v>65445.3537832849</v>
      </c>
      <c r="F115" s="21" t="n">
        <v>153706.4045598</v>
      </c>
      <c r="G115" s="75" t="n">
        <v>0.741497559880614</v>
      </c>
      <c r="H115" s="21" t="n">
        <v>105585.173783285</v>
      </c>
      <c r="I115" s="21" t="n">
        <v>196348.7245598</v>
      </c>
      <c r="J115" s="75" t="n">
        <v>1.16329928567101</v>
      </c>
    </row>
    <row r="116" customFormat="false" ht="16.5" hidden="false" customHeight="true" outlineLevel="0" collapsed="false">
      <c r="A116" s="72" t="n">
        <v>45880</v>
      </c>
      <c r="B116" s="68"/>
      <c r="D116" s="73" t="n">
        <v>0.55404869212963</v>
      </c>
      <c r="E116" s="74" t="n">
        <v>63075.8892191849</v>
      </c>
      <c r="F116" s="21" t="n">
        <v>151336.9155157</v>
      </c>
      <c r="G116" s="75" t="n">
        <v>0.714651662980667</v>
      </c>
      <c r="H116" s="21" t="n">
        <v>102613.429219185</v>
      </c>
      <c r="I116" s="21" t="n">
        <v>193376.9555157</v>
      </c>
      <c r="J116" s="75" t="n">
        <v>1.13055798299371</v>
      </c>
    </row>
    <row r="117" customFormat="false" ht="16.5" hidden="false" customHeight="true" outlineLevel="0" collapsed="false">
      <c r="A117" s="72" t="n">
        <v>45877</v>
      </c>
      <c r="B117" s="68"/>
      <c r="D117" s="73" t="n">
        <v>0.713287025462963</v>
      </c>
      <c r="E117" s="74" t="n">
        <v>63571.2956462849</v>
      </c>
      <c r="F117" s="21" t="n">
        <v>151832.3359678</v>
      </c>
      <c r="G117" s="75" t="n">
        <v>0.720264517783939</v>
      </c>
      <c r="H117" s="21" t="n">
        <v>104041.235646285</v>
      </c>
      <c r="I117" s="21" t="n">
        <v>194804.7759678</v>
      </c>
      <c r="J117" s="75" t="n">
        <v>1.14628886530578</v>
      </c>
    </row>
    <row r="118" customFormat="false" ht="16.5" hidden="false" customHeight="true" outlineLevel="0" collapsed="false">
      <c r="A118" s="72" t="n">
        <v>45876</v>
      </c>
      <c r="B118" s="68"/>
      <c r="D118" s="73" t="n">
        <v>0.55395005787037</v>
      </c>
      <c r="E118" s="74" t="n">
        <v>62240.6262984849</v>
      </c>
      <c r="F118" s="21" t="n">
        <v>150448.077405</v>
      </c>
      <c r="G118" s="75" t="n">
        <v>0.705616424890524</v>
      </c>
      <c r="H118" s="21" t="n">
        <v>102360.286298485</v>
      </c>
      <c r="I118" s="21" t="n">
        <v>193070.237405</v>
      </c>
      <c r="J118" s="75" t="n">
        <v>1.12843502890096</v>
      </c>
    </row>
    <row r="119" customFormat="false" ht="16.5" hidden="false" customHeight="true" outlineLevel="0" collapsed="false">
      <c r="A119" s="72" t="n">
        <v>45875</v>
      </c>
      <c r="B119" s="68"/>
      <c r="D119" s="73" t="n">
        <v>0.571356747685185</v>
      </c>
      <c r="E119" s="74" t="n">
        <v>62591.6179666849</v>
      </c>
      <c r="F119" s="21" t="n">
        <v>150799.0346482</v>
      </c>
      <c r="G119" s="75" t="n">
        <v>0.709595863040411</v>
      </c>
      <c r="H119" s="21" t="n">
        <v>103637.377966685</v>
      </c>
      <c r="I119" s="21" t="n">
        <v>194347.2946482</v>
      </c>
      <c r="J119" s="75" t="n">
        <v>1.142514311093</v>
      </c>
    </row>
    <row r="120" customFormat="false" ht="16.5" hidden="false" customHeight="true" outlineLevel="0" collapsed="false">
      <c r="A120" s="72" t="n">
        <v>45874</v>
      </c>
      <c r="B120" s="68"/>
      <c r="D120" s="73" t="n">
        <v>0.558393125</v>
      </c>
      <c r="E120" s="74" t="n">
        <v>61645.4498328849</v>
      </c>
      <c r="F120" s="21" t="n">
        <v>149852.8369344</v>
      </c>
      <c r="G120" s="75" t="n">
        <v>0.698869469537047</v>
      </c>
      <c r="H120" s="21" t="n">
        <v>101824.329832885</v>
      </c>
      <c r="I120" s="21" t="n">
        <v>192534.2169344</v>
      </c>
      <c r="J120" s="75" t="n">
        <v>1.12252735712185</v>
      </c>
    </row>
    <row r="121" customFormat="false" ht="16.5" hidden="false" customHeight="true" outlineLevel="0" collapsed="false">
      <c r="A121" s="72" t="n">
        <v>45873</v>
      </c>
      <c r="B121" s="68"/>
      <c r="D121" s="73" t="n">
        <v>0.647663252314815</v>
      </c>
      <c r="E121" s="74" t="n">
        <v>63568.6948646849</v>
      </c>
      <c r="F121" s="21" t="n">
        <v>151776.1263362</v>
      </c>
      <c r="G121" s="75" t="n">
        <v>0.720672780107118</v>
      </c>
      <c r="H121" s="21" t="n">
        <v>103761.434864685</v>
      </c>
      <c r="I121" s="21" t="n">
        <v>194471.3663362</v>
      </c>
      <c r="J121" s="75" t="n">
        <v>1.14388174681036</v>
      </c>
    </row>
    <row r="122" customFormat="false" ht="16.5" hidden="false" customHeight="true" outlineLevel="0" collapsed="false">
      <c r="A122" s="72" t="n">
        <v>45870</v>
      </c>
      <c r="B122" s="68"/>
      <c r="D122" s="73" t="n">
        <v>0.5587903125</v>
      </c>
      <c r="E122" s="74" t="n">
        <v>58698.8342286849</v>
      </c>
      <c r="F122" s="21" t="n">
        <v>146906.1055602</v>
      </c>
      <c r="G122" s="75" t="n">
        <v>0.665464800606667</v>
      </c>
      <c r="H122" s="21" t="n">
        <v>100019.274228685</v>
      </c>
      <c r="I122" s="21" t="n">
        <v>190729.0455602</v>
      </c>
      <c r="J122" s="75" t="n">
        <v>1.10262954873016</v>
      </c>
    </row>
    <row r="123" customFormat="false" ht="16.5" hidden="false" customHeight="true" outlineLevel="0" collapsed="false">
      <c r="A123" s="72" t="n">
        <v>45869</v>
      </c>
      <c r="B123" s="68"/>
      <c r="D123" s="73" t="n">
        <v>0.640338796296296</v>
      </c>
      <c r="E123" s="74" t="n">
        <v>62499.2558362849</v>
      </c>
      <c r="F123" s="21" t="n">
        <v>150646.7229928</v>
      </c>
      <c r="G123" s="75" t="n">
        <v>0.709030648893301</v>
      </c>
      <c r="H123" s="21" t="n">
        <v>105065.835836285</v>
      </c>
      <c r="I123" s="21" t="n">
        <v>195715.8029928</v>
      </c>
      <c r="J123" s="75" t="n">
        <v>1.15902784228128</v>
      </c>
    </row>
    <row r="124" customFormat="false" ht="16.5" hidden="false" customHeight="true" outlineLevel="0" collapsed="false">
      <c r="A124" s="72" t="n">
        <v>45868</v>
      </c>
      <c r="B124" s="68"/>
      <c r="D124" s="73" t="n">
        <v>0.704066967592593</v>
      </c>
      <c r="E124" s="74" t="n">
        <v>56985.0578124849</v>
      </c>
      <c r="F124" s="21" t="n">
        <v>145132.560669</v>
      </c>
      <c r="G124" s="75" t="n">
        <v>0.646473875785728</v>
      </c>
      <c r="H124" s="21" t="n">
        <v>100346.697812485</v>
      </c>
      <c r="I124" s="21" t="n">
        <v>190996.700669</v>
      </c>
      <c r="J124" s="75" t="n">
        <v>1.10696850138348</v>
      </c>
    </row>
    <row r="125" customFormat="false" ht="16.5" hidden="false" customHeight="true" outlineLevel="0" collapsed="false">
      <c r="A125" s="72" t="n">
        <v>45867</v>
      </c>
      <c r="B125" s="68"/>
      <c r="D125" s="73" t="n">
        <v>0.730164305555556</v>
      </c>
      <c r="E125" s="74" t="n">
        <v>55834.3742266849</v>
      </c>
      <c r="F125" s="21" t="n">
        <v>143981.5912032</v>
      </c>
      <c r="G125" s="75" t="n">
        <v>0.633421861084516</v>
      </c>
      <c r="H125" s="21" t="n">
        <v>100040.214226685</v>
      </c>
      <c r="I125" s="21" t="n">
        <v>190689.9312032</v>
      </c>
      <c r="J125" s="75" t="n">
        <v>1.10359102668354</v>
      </c>
    </row>
    <row r="126" customFormat="false" ht="16.5" hidden="false" customHeight="true" outlineLevel="0" collapsed="false">
      <c r="A126" s="72" t="n">
        <v>45866</v>
      </c>
      <c r="B126" s="68"/>
      <c r="D126" s="73" t="n">
        <v>0.76063775462963</v>
      </c>
      <c r="E126" s="74" t="n">
        <v>58432.9859672849</v>
      </c>
      <c r="F126" s="21" t="n">
        <v>145812.2745638</v>
      </c>
      <c r="G126" s="75" t="n">
        <v>0.668728103716963</v>
      </c>
      <c r="H126" s="21" t="n">
        <v>102483.845967285</v>
      </c>
      <c r="I126" s="21" t="n">
        <v>192365.6345638</v>
      </c>
      <c r="J126" s="75" t="n">
        <v>1.14020701598787</v>
      </c>
    </row>
    <row r="127" customFormat="false" ht="16.5" hidden="false" customHeight="true" outlineLevel="0" collapsed="false">
      <c r="A127" s="72" t="n">
        <v>45863</v>
      </c>
      <c r="B127" s="68"/>
      <c r="D127" s="73" t="n">
        <v>0.554847094907407</v>
      </c>
      <c r="E127" s="74" t="n">
        <v>56632.8592012849</v>
      </c>
      <c r="F127" s="21" t="n">
        <v>144012.0649228</v>
      </c>
      <c r="G127" s="75" t="n">
        <v>0.648127420404558</v>
      </c>
      <c r="H127" s="1" t="n">
        <v>100843.739201285</v>
      </c>
      <c r="I127" s="21" t="n">
        <v>190725.4449228</v>
      </c>
      <c r="J127" s="75" t="n">
        <v>1.12196067477551</v>
      </c>
    </row>
    <row r="128" customFormat="false" ht="16.5" hidden="false" customHeight="true" outlineLevel="0" collapsed="false">
      <c r="A128" s="72" t="n">
        <v>45862</v>
      </c>
      <c r="B128" s="68"/>
      <c r="D128" s="73" t="n">
        <v>0.698128148148148</v>
      </c>
      <c r="E128" s="74" t="n">
        <v>56960.0131472849</v>
      </c>
      <c r="F128" s="21" t="n">
        <v>144339.2249888</v>
      </c>
      <c r="G128" s="75" t="n">
        <v>0.651871445700341</v>
      </c>
      <c r="H128" s="21" t="n">
        <v>101290.593147285</v>
      </c>
      <c r="I128" s="21" t="n">
        <v>191172.3049888</v>
      </c>
      <c r="J128" s="75" t="n">
        <v>1.12693217643525</v>
      </c>
    </row>
    <row r="129" customFormat="false" ht="16.5" hidden="false" customHeight="true" outlineLevel="0" collapsed="false">
      <c r="A129" s="72" t="n">
        <v>45861</v>
      </c>
      <c r="B129" s="68"/>
      <c r="D129" s="73" t="n">
        <v>0.722279641203704</v>
      </c>
      <c r="E129" s="74" t="n">
        <v>55252.2151388849</v>
      </c>
      <c r="F129" s="21" t="n">
        <v>142631.3515004</v>
      </c>
      <c r="G129" s="75" t="n">
        <v>0.632327320223091</v>
      </c>
      <c r="H129" s="21" t="n">
        <v>99679.8151388849</v>
      </c>
      <c r="I129" s="21" t="n">
        <v>189561.4515004</v>
      </c>
      <c r="J129" s="75" t="n">
        <v>1.10901202040826</v>
      </c>
    </row>
    <row r="130" customFormat="false" ht="16.5" hidden="false" customHeight="true" outlineLevel="0" collapsed="false">
      <c r="A130" s="72" t="n">
        <v>45860</v>
      </c>
      <c r="B130" s="68"/>
      <c r="D130" s="73" t="n">
        <v>0.599597164351852</v>
      </c>
      <c r="E130" s="74" t="n">
        <v>54411.1155156849</v>
      </c>
      <c r="F130" s="21" t="n">
        <v>140567.6762522</v>
      </c>
      <c r="G130" s="75" t="n">
        <v>0.631537691970847</v>
      </c>
      <c r="H130" s="21" t="n">
        <v>98890.3755156849</v>
      </c>
      <c r="I130" s="21" t="n">
        <v>187549.4362522</v>
      </c>
      <c r="J130" s="75" t="n">
        <v>1.11540066739006</v>
      </c>
    </row>
    <row r="131" customFormat="false" ht="16.5" hidden="false" customHeight="true" outlineLevel="0" collapsed="false">
      <c r="A131" s="72" t="n">
        <v>45859</v>
      </c>
      <c r="B131" s="68"/>
      <c r="D131" s="73" t="n">
        <v>0.5541725</v>
      </c>
      <c r="E131" s="74" t="n">
        <v>57265.9222450849</v>
      </c>
      <c r="F131" s="21" t="n">
        <v>143422.5939066</v>
      </c>
      <c r="G131" s="75" t="n">
        <v>0.664671941716438</v>
      </c>
      <c r="H131" s="21" t="n">
        <v>101091.242245085</v>
      </c>
      <c r="I131" s="21" t="n">
        <v>189750.4139066</v>
      </c>
      <c r="J131" s="75" t="n">
        <v>1.1402231754548</v>
      </c>
    </row>
    <row r="132" customFormat="false" ht="16.5" hidden="false" customHeight="true" outlineLevel="0" collapsed="false">
      <c r="A132" s="72" t="n">
        <v>45856</v>
      </c>
      <c r="B132" s="68"/>
      <c r="D132" s="73" t="n">
        <v>0.564922164351852</v>
      </c>
      <c r="E132" s="74" t="n">
        <v>56671.1872314849</v>
      </c>
      <c r="F132" s="21" t="n">
        <v>142827.885158</v>
      </c>
      <c r="G132" s="75" t="n">
        <v>0.657768793319132</v>
      </c>
      <c r="H132" s="21" t="n">
        <v>100258.367231485</v>
      </c>
      <c r="I132" s="21" t="n">
        <v>188917.565158</v>
      </c>
      <c r="J132" s="75" t="n">
        <v>1.13082871914298</v>
      </c>
    </row>
    <row r="133" customFormat="false" ht="16.5" hidden="false" customHeight="true" outlineLevel="0" collapsed="false">
      <c r="A133" s="72" t="n">
        <v>45855</v>
      </c>
      <c r="B133" s="68"/>
      <c r="D133" s="73" t="n">
        <v>0.663611180555556</v>
      </c>
      <c r="E133" s="74" t="n">
        <v>56711.2194830849</v>
      </c>
      <c r="F133" s="21" t="n">
        <v>142867.9324546</v>
      </c>
      <c r="G133" s="75" t="n">
        <v>0.658233323059047</v>
      </c>
      <c r="H133" s="21" t="n">
        <v>100381.559483085</v>
      </c>
      <c r="I133" s="21" t="n">
        <v>189040.7724546</v>
      </c>
      <c r="J133" s="75" t="n">
        <v>1.13221803035107</v>
      </c>
    </row>
    <row r="134" customFormat="false" ht="16.5" hidden="false" customHeight="true" outlineLevel="0" collapsed="false">
      <c r="A134" s="72" t="n">
        <v>45854</v>
      </c>
      <c r="B134" s="68"/>
      <c r="D134" s="73" t="n">
        <v>0.725421631944444</v>
      </c>
      <c r="E134" s="74" t="n">
        <v>55881.9837604849</v>
      </c>
      <c r="F134" s="21" t="n">
        <v>142038.655167</v>
      </c>
      <c r="G134" s="75" t="n">
        <v>0.648608898744655</v>
      </c>
      <c r="H134" s="21" t="n">
        <v>98962.6437604849</v>
      </c>
      <c r="I134" s="21" t="n">
        <v>187621.815167</v>
      </c>
      <c r="J134" s="75" t="n">
        <v>1.11621439937361</v>
      </c>
    </row>
    <row r="135" customFormat="false" ht="16.5" hidden="false" customHeight="true" outlineLevel="0" collapsed="false">
      <c r="A135" s="72" t="n">
        <v>45853</v>
      </c>
      <c r="B135" s="68"/>
      <c r="D135" s="73" t="n">
        <v>0.763481423611111</v>
      </c>
      <c r="E135" s="74" t="n">
        <v>56309.6498918849</v>
      </c>
      <c r="F135" s="21" t="n">
        <v>142466.3042134</v>
      </c>
      <c r="G135" s="75" t="n">
        <v>0.653572847452401</v>
      </c>
      <c r="H135" s="21" t="n">
        <v>99693.9698918849</v>
      </c>
      <c r="I135" s="21" t="n">
        <v>188353.1242134</v>
      </c>
      <c r="J135" s="75" t="n">
        <v>1.12446335242893</v>
      </c>
    </row>
    <row r="136" customFormat="false" ht="16.5" hidden="false" customHeight="true" outlineLevel="0" collapsed="false">
      <c r="A136" s="72" t="n">
        <v>45852</v>
      </c>
      <c r="B136" s="68"/>
      <c r="D136" s="73" t="n">
        <v>0.672196736111111</v>
      </c>
      <c r="E136" s="74" t="n">
        <v>54085.5344150849</v>
      </c>
      <c r="F136" s="21" t="n">
        <v>140242.0196716</v>
      </c>
      <c r="G136" s="75" t="n">
        <v>0.627759294660815</v>
      </c>
      <c r="H136" s="21" t="n">
        <v>97823.9144150848</v>
      </c>
      <c r="I136" s="21" t="n">
        <v>186482.8996716</v>
      </c>
      <c r="J136" s="75" t="n">
        <v>1.10337281813065</v>
      </c>
    </row>
    <row r="137" customFormat="false" ht="16.5" hidden="false" customHeight="true" outlineLevel="0" collapsed="false">
      <c r="A137" s="72" t="n">
        <v>45849</v>
      </c>
      <c r="B137" s="68"/>
      <c r="D137" s="73" t="n">
        <v>0.657302939814815</v>
      </c>
      <c r="E137" s="74" t="n">
        <v>54108.1802094849</v>
      </c>
      <c r="F137" s="21" t="n">
        <v>140264.687141</v>
      </c>
      <c r="G137" s="75" t="n">
        <v>0.62802198158399</v>
      </c>
      <c r="H137" s="21" t="n">
        <v>97387.9202094849</v>
      </c>
      <c r="I137" s="21" t="n">
        <v>186046.927141</v>
      </c>
      <c r="J137" s="75" t="n">
        <v>1.09845489567363</v>
      </c>
    </row>
    <row r="138" customFormat="false" ht="16.5" hidden="false" customHeight="true" outlineLevel="0" collapsed="false">
      <c r="A138" s="72" t="n">
        <v>45848</v>
      </c>
      <c r="B138" s="68"/>
      <c r="D138" s="73" t="n">
        <v>0.554092037037037</v>
      </c>
      <c r="E138" s="74" t="n">
        <v>54322.0329148849</v>
      </c>
      <c r="F138" s="21" t="n">
        <v>140478.5189364</v>
      </c>
      <c r="G138" s="75" t="n">
        <v>0.630504276849446</v>
      </c>
      <c r="H138" s="21" t="n">
        <v>98619.8529148849</v>
      </c>
      <c r="I138" s="21" t="n">
        <v>187278.8389364</v>
      </c>
      <c r="J138" s="75" t="n">
        <v>1.11235033627559</v>
      </c>
    </row>
    <row r="139" customFormat="false" ht="16.5" hidden="false" customHeight="true" outlineLevel="0" collapsed="false">
      <c r="A139" s="72" t="n">
        <v>45847</v>
      </c>
      <c r="B139" s="68"/>
      <c r="D139" s="73" t="n">
        <v>0.689090671296296</v>
      </c>
      <c r="E139" s="74" t="n">
        <v>54324.9599328849</v>
      </c>
      <c r="F139" s="21" t="n">
        <v>140481.4148444</v>
      </c>
      <c r="G139" s="75" t="n">
        <v>0.630538477803874</v>
      </c>
      <c r="H139" s="21" t="n">
        <v>98868.4799328849</v>
      </c>
      <c r="I139" s="21" t="n">
        <v>187527.4348444</v>
      </c>
      <c r="J139" s="75" t="n">
        <v>1.11515503461054</v>
      </c>
    </row>
    <row r="140" customFormat="false" ht="16.5" hidden="false" customHeight="true" outlineLevel="0" collapsed="false">
      <c r="A140" s="72" t="n">
        <v>45846</v>
      </c>
      <c r="B140" s="68"/>
      <c r="D140" s="73" t="n">
        <v>0.567770671296296</v>
      </c>
      <c r="E140" s="74" t="n">
        <v>51897.5040726849</v>
      </c>
      <c r="F140" s="21" t="n">
        <v>138053.8855442</v>
      </c>
      <c r="G140" s="75" t="n">
        <v>0.602364017456364</v>
      </c>
      <c r="H140" s="21" t="n">
        <v>97557.3840726848</v>
      </c>
      <c r="I140" s="21" t="n">
        <v>186216.2655442</v>
      </c>
      <c r="J140" s="75" t="n">
        <v>1.10036786448776</v>
      </c>
    </row>
    <row r="141" customFormat="false" ht="16.5" hidden="false" customHeight="true" outlineLevel="0" collapsed="false">
      <c r="A141" s="72" t="n">
        <v>45845</v>
      </c>
      <c r="B141" s="68"/>
      <c r="D141" s="73" t="n">
        <v>0.739583333333333</v>
      </c>
      <c r="E141" s="74" t="n">
        <v>51362.0547202849</v>
      </c>
      <c r="F141" s="21" t="n">
        <v>137518.3913118</v>
      </c>
      <c r="G141" s="75" t="n">
        <v>0.5961494737619</v>
      </c>
      <c r="H141" s="21" t="n">
        <v>96352.8747202849</v>
      </c>
      <c r="I141" s="21" t="n">
        <v>185011.7113118</v>
      </c>
      <c r="J141" s="75" t="n">
        <v>1.08678252980263</v>
      </c>
    </row>
    <row r="142" customFormat="false" ht="16.5" hidden="false" customHeight="true" outlineLevel="0" collapsed="false">
      <c r="A142" s="72" t="n">
        <v>45841</v>
      </c>
      <c r="B142" s="68"/>
      <c r="D142" s="73" t="n">
        <v>0.545582372685185</v>
      </c>
      <c r="E142" s="74" t="n">
        <v>51890.2902038849</v>
      </c>
      <c r="F142" s="21" t="n">
        <v>138057.7548454</v>
      </c>
      <c r="G142" s="75" t="n">
        <v>0.602202820052389</v>
      </c>
      <c r="H142" s="21" t="n">
        <v>97180.9902038849</v>
      </c>
      <c r="I142" s="21" t="n">
        <v>185850.9548454</v>
      </c>
      <c r="J142" s="75" t="n">
        <v>1.09598543990379</v>
      </c>
    </row>
    <row r="143" customFormat="false" ht="16.5" hidden="false" customHeight="true" outlineLevel="0" collapsed="false">
      <c r="A143" s="72" t="n">
        <v>45840</v>
      </c>
      <c r="B143" s="68"/>
      <c r="D143" s="73" t="n">
        <v>0.776819814814815</v>
      </c>
      <c r="E143" s="74" t="n">
        <v>50253.4252776849</v>
      </c>
      <c r="F143" s="21" t="n">
        <v>136416.8267492</v>
      </c>
      <c r="G143" s="75" t="n">
        <v>0.583233999812533</v>
      </c>
      <c r="H143" s="21" t="n">
        <v>95438.2852776849</v>
      </c>
      <c r="I143" s="21" t="n">
        <v>184104.1867492</v>
      </c>
      <c r="J143" s="75" t="n">
        <v>1.07638092765961</v>
      </c>
    </row>
    <row r="144" customFormat="false" ht="16.5" hidden="false" customHeight="true" outlineLevel="0" collapsed="false">
      <c r="A144" s="72" t="n">
        <v>45839</v>
      </c>
      <c r="B144" s="68"/>
      <c r="D144" s="73" t="n">
        <v>0.562193611111111</v>
      </c>
      <c r="E144" s="74" t="n">
        <v>48858.8640576849</v>
      </c>
      <c r="F144" s="21" t="n">
        <v>135022.2655292</v>
      </c>
      <c r="G144" s="75" t="n">
        <v>0.567048923594749</v>
      </c>
      <c r="H144" s="21" t="n">
        <v>95761.1040576849</v>
      </c>
      <c r="I144" s="21" t="n">
        <v>184427.0055292</v>
      </c>
      <c r="J144" s="75" t="n">
        <v>1.08002177238844</v>
      </c>
    </row>
    <row r="145" customFormat="false" ht="16.5" hidden="false" customHeight="true" outlineLevel="0" collapsed="false">
      <c r="A145" s="72" t="n">
        <v>45838</v>
      </c>
      <c r="B145" s="68"/>
      <c r="D145" s="73" t="n">
        <v>0.579780023148148</v>
      </c>
      <c r="E145" s="74" t="n">
        <v>52212.9268548849</v>
      </c>
      <c r="F145" s="21" t="n">
        <v>139008.6369504</v>
      </c>
      <c r="G145" s="75" t="n">
        <v>0.601561146252812</v>
      </c>
      <c r="H145" s="21" t="n">
        <v>98457.4468548849</v>
      </c>
      <c r="I145" s="21" t="n">
        <v>187755.6569504</v>
      </c>
      <c r="J145" s="75" t="n">
        <v>1.10256909684497</v>
      </c>
    </row>
    <row r="146" customFormat="false" ht="16.5" hidden="false" customHeight="true" outlineLevel="0" collapsed="false">
      <c r="A146" s="72" t="n">
        <v>45835</v>
      </c>
      <c r="B146" s="68"/>
      <c r="D146" s="73" t="n">
        <v>0.620433796296296</v>
      </c>
      <c r="E146" s="74" t="n">
        <v>51579.6876692849</v>
      </c>
      <c r="F146" s="21" t="n">
        <v>138043.3391408</v>
      </c>
      <c r="G146" s="75" t="n">
        <v>0.596547645067678</v>
      </c>
      <c r="H146" s="21" t="n">
        <v>97691.9076692849</v>
      </c>
      <c r="I146" s="21" t="n">
        <v>186658.0591408</v>
      </c>
      <c r="J146" s="75" t="n">
        <v>1.09807950612052</v>
      </c>
    </row>
    <row r="147" customFormat="false" ht="16.5" hidden="false" customHeight="true" outlineLevel="0" collapsed="false">
      <c r="A147" s="72" t="n">
        <v>45834</v>
      </c>
      <c r="B147" s="68"/>
      <c r="D147" s="73" t="n">
        <v>0.748535219907407</v>
      </c>
      <c r="E147" s="74" t="n">
        <v>51062.8458636849</v>
      </c>
      <c r="F147" s="21" t="n">
        <v>136788.7873352</v>
      </c>
      <c r="G147" s="75" t="n">
        <v>0.595652202672535</v>
      </c>
      <c r="H147" s="21" t="n">
        <v>97064.1858636849</v>
      </c>
      <c r="I147" s="21" t="n">
        <v>185292.6273352</v>
      </c>
      <c r="J147" s="75" t="n">
        <v>1.10014621413235</v>
      </c>
    </row>
    <row r="148" customFormat="false" ht="16.5" hidden="false" customHeight="true" outlineLevel="0" collapsed="false">
      <c r="A148" s="72" t="n">
        <v>45833</v>
      </c>
      <c r="B148" s="68"/>
      <c r="D148" s="73" t="n">
        <v>0.554765497685185</v>
      </c>
      <c r="E148" s="74" t="n">
        <v>49301.1572423849</v>
      </c>
      <c r="F148" s="21" t="n">
        <v>134991.2998918</v>
      </c>
      <c r="G148" s="75" t="n">
        <v>0.575342223948572</v>
      </c>
      <c r="H148" s="21" t="n">
        <v>95630.0972423849</v>
      </c>
      <c r="I148" s="21" t="n">
        <v>183822.7398918</v>
      </c>
      <c r="J148" s="75" t="n">
        <v>1.0843319166944</v>
      </c>
    </row>
    <row r="149" customFormat="false" ht="16.5" hidden="false" customHeight="true" outlineLevel="0" collapsed="false">
      <c r="A149" s="72" t="n">
        <v>45832</v>
      </c>
      <c r="B149" s="68"/>
      <c r="D149" s="73" t="n">
        <v>0.59298037037037</v>
      </c>
      <c r="E149" s="74" t="n">
        <v>46736.1331045849</v>
      </c>
      <c r="F149" s="21" t="n">
        <v>132426.275754</v>
      </c>
      <c r="G149" s="75" t="n">
        <v>0.545408510939197</v>
      </c>
      <c r="H149" s="21" t="n">
        <v>92408.6131045849</v>
      </c>
      <c r="I149" s="21" t="n">
        <v>180601.255754</v>
      </c>
      <c r="J149" s="75" t="n">
        <v>1.04780410619885</v>
      </c>
    </row>
    <row r="150" customFormat="false" ht="16.5" hidden="false" customHeight="true" outlineLevel="0" collapsed="false">
      <c r="A150" s="72" t="n">
        <v>45831</v>
      </c>
      <c r="B150" s="68"/>
      <c r="D150" s="73" t="n">
        <v>0.656643680555556</v>
      </c>
      <c r="E150" s="74" t="n">
        <v>41804.3417316849</v>
      </c>
      <c r="F150" s="21" t="n">
        <v>128989.0548721</v>
      </c>
      <c r="G150" s="75" t="n">
        <v>0.479491647398747</v>
      </c>
      <c r="H150" s="21" t="n">
        <v>87197.1017316849</v>
      </c>
      <c r="I150" s="21" t="n">
        <v>176884.3148721</v>
      </c>
      <c r="J150" s="75" t="n">
        <v>0.972235602807373</v>
      </c>
    </row>
    <row r="151" customFormat="false" ht="16.5" hidden="false" customHeight="true" outlineLevel="0" collapsed="false">
      <c r="A151" s="72" t="n">
        <v>45828</v>
      </c>
      <c r="B151" s="68"/>
      <c r="D151" s="73" t="n">
        <v>0.767566643518519</v>
      </c>
      <c r="E151" s="74" t="n">
        <v>40296.1997016849</v>
      </c>
      <c r="F151" s="21" t="n">
        <v>127480.9128421</v>
      </c>
      <c r="G151" s="75" t="n">
        <v>0.462193408112566</v>
      </c>
      <c r="H151" s="21" t="n">
        <v>85285.7597016849</v>
      </c>
      <c r="I151" s="21" t="n">
        <v>174972.9728421</v>
      </c>
      <c r="J151" s="75" t="n">
        <v>0.950924403996818</v>
      </c>
    </row>
    <row r="152" customFormat="false" ht="16.5" hidden="false" customHeight="true" outlineLevel="0" collapsed="false">
      <c r="A152" s="72" t="n">
        <v>45826</v>
      </c>
      <c r="B152" s="68"/>
      <c r="D152" s="73" t="n">
        <v>0.666631655092593</v>
      </c>
      <c r="E152" s="74" t="n">
        <v>41968.1253488849</v>
      </c>
      <c r="F152" s="21" t="n">
        <v>129452.2084893</v>
      </c>
      <c r="G152" s="75" t="n">
        <v>0.479722983225697</v>
      </c>
      <c r="H152" s="21" t="n">
        <v>87098.8053488849</v>
      </c>
      <c r="I152" s="21" t="n">
        <v>177085.3884893</v>
      </c>
      <c r="J152" s="75" t="n">
        <v>0.967908796058806</v>
      </c>
    </row>
    <row r="153" customFormat="false" ht="16.5" hidden="false" customHeight="true" outlineLevel="0" collapsed="false">
      <c r="A153" s="72" t="n">
        <v>45825</v>
      </c>
      <c r="B153" s="68"/>
      <c r="D153" s="73" t="n">
        <v>0.614096469907407</v>
      </c>
      <c r="E153" s="74" t="n">
        <v>41608.7684880849</v>
      </c>
      <c r="F153" s="21" t="n">
        <v>129092.8516285</v>
      </c>
      <c r="G153" s="75" t="n">
        <v>0.475615300457585</v>
      </c>
      <c r="H153" s="21" t="n">
        <v>87324.0884880849</v>
      </c>
      <c r="I153" s="21" t="n">
        <v>177310.6716285</v>
      </c>
      <c r="J153" s="75" t="n">
        <v>0.970412315265091</v>
      </c>
    </row>
    <row r="154" customFormat="false" ht="16.5" hidden="false" customHeight="true" outlineLevel="0" collapsed="false">
      <c r="A154" s="72" t="n">
        <v>45824</v>
      </c>
      <c r="B154" s="68"/>
      <c r="D154" s="73" t="n">
        <v>0.651388888888889</v>
      </c>
      <c r="E154" s="74" t="n">
        <v>42280.8241035849</v>
      </c>
      <c r="F154" s="21" t="n">
        <v>129744.957244</v>
      </c>
      <c r="G154" s="75" t="n">
        <v>0.483407570457563</v>
      </c>
      <c r="H154" s="21" t="n">
        <v>90396.4441035849</v>
      </c>
      <c r="I154" s="21" t="n">
        <v>180363.077244</v>
      </c>
      <c r="J154" s="75" t="n">
        <v>1.00477744857362</v>
      </c>
    </row>
    <row r="155" customFormat="false" ht="16.5" hidden="false" customHeight="true" outlineLevel="0" collapsed="false">
      <c r="A155" s="72" t="n">
        <v>45821</v>
      </c>
      <c r="B155" s="68"/>
      <c r="D155" s="73" t="n">
        <v>0.561805555555556</v>
      </c>
      <c r="E155" s="74" t="n">
        <v>39571.0298842849</v>
      </c>
      <c r="F155" s="21" t="n">
        <v>127035.1630247</v>
      </c>
      <c r="G155" s="75" t="n">
        <v>0.45242579401956</v>
      </c>
      <c r="H155" s="21" t="n">
        <v>86420.3498842849</v>
      </c>
      <c r="I155" s="21" t="n">
        <v>176386.9830247</v>
      </c>
      <c r="J155" s="75" t="n">
        <v>0.960582238855205</v>
      </c>
    </row>
    <row r="156" customFormat="false" ht="16.5" hidden="false" customHeight="true" outlineLevel="0" collapsed="false">
      <c r="A156" s="72" t="n">
        <v>45820</v>
      </c>
      <c r="B156" s="68"/>
      <c r="D156" s="73" t="n">
        <v>0.579689039351852</v>
      </c>
      <c r="E156" s="74" t="n">
        <v>42233.6008153849</v>
      </c>
      <c r="F156" s="21" t="n">
        <v>129697.7339558</v>
      </c>
      <c r="G156" s="75" t="n">
        <v>0.482867654419931</v>
      </c>
      <c r="H156" s="21" t="n">
        <v>91854.9208153849</v>
      </c>
      <c r="I156" s="21" t="n">
        <v>181821.5539558</v>
      </c>
      <c r="J156" s="75" t="n">
        <v>1.02098875559812</v>
      </c>
    </row>
    <row r="157" customFormat="false" ht="16.5" hidden="false" customHeight="true" outlineLevel="0" collapsed="false">
      <c r="A157" s="72" t="n">
        <v>45819</v>
      </c>
      <c r="B157" s="68"/>
      <c r="D157" s="73" t="n">
        <v>0.558320092592593</v>
      </c>
      <c r="E157" s="74" t="n">
        <v>41198.6052443849</v>
      </c>
      <c r="F157" s="21" t="n">
        <v>128662.7383848</v>
      </c>
      <c r="G157" s="75" t="n">
        <v>0.47103428302713</v>
      </c>
      <c r="H157" s="21" t="n">
        <v>90714.0852443849</v>
      </c>
      <c r="I157" s="21" t="n">
        <v>180680.7183848</v>
      </c>
      <c r="J157" s="75" t="n">
        <v>1.00830810354771</v>
      </c>
    </row>
    <row r="158" customFormat="false" ht="16.5" hidden="false" customHeight="true" outlineLevel="0" collapsed="false">
      <c r="A158" s="72" t="n">
        <v>45818</v>
      </c>
      <c r="B158" s="68"/>
      <c r="D158" s="73" t="n">
        <v>0.708837604166667</v>
      </c>
      <c r="E158" s="74" t="n">
        <v>41798.5966675849</v>
      </c>
      <c r="F158" s="21" t="n">
        <v>129262.729808</v>
      </c>
      <c r="G158" s="75" t="n">
        <v>0.477894139766769</v>
      </c>
      <c r="H158" s="21" t="n">
        <v>91719.7966675849</v>
      </c>
      <c r="I158" s="21" t="n">
        <v>181686.429808</v>
      </c>
      <c r="J158" s="75" t="n">
        <v>1.01948681934594</v>
      </c>
    </row>
    <row r="159" customFormat="false" ht="16.5" hidden="false" customHeight="true" outlineLevel="0" collapsed="false">
      <c r="A159" s="72" t="n">
        <v>45817</v>
      </c>
      <c r="B159" s="68"/>
      <c r="D159" s="73" t="n">
        <v>0.633142685185185</v>
      </c>
      <c r="E159" s="74" t="n">
        <v>40561.1979967849</v>
      </c>
      <c r="F159" s="21" t="n">
        <v>128025.3311372</v>
      </c>
      <c r="G159" s="75" t="n">
        <v>0.463746641513817</v>
      </c>
      <c r="H159" s="21" t="n">
        <v>90507.5979967849</v>
      </c>
      <c r="I159" s="21" t="n">
        <v>180474.2311372</v>
      </c>
      <c r="J159" s="75" t="n">
        <v>1.00601294988471</v>
      </c>
    </row>
    <row r="160" customFormat="false" ht="16.5" hidden="false" customHeight="true" outlineLevel="0" collapsed="false">
      <c r="A160" s="72" t="n">
        <v>45814</v>
      </c>
      <c r="B160" s="68"/>
      <c r="D160" s="73" t="n">
        <v>0.561975775462963</v>
      </c>
      <c r="E160" s="74" t="n">
        <v>41270.7497316395</v>
      </c>
      <c r="F160" s="21" t="n">
        <v>127852.1985309</v>
      </c>
      <c r="G160" s="75" t="n">
        <v>0.476669659655684</v>
      </c>
      <c r="H160" s="21" t="n">
        <v>91300.3097316395</v>
      </c>
      <c r="I160" s="21" t="n">
        <v>180384.2585309</v>
      </c>
      <c r="J160" s="75" t="n">
        <v>1.02487946439569</v>
      </c>
    </row>
    <row r="161" customFormat="false" ht="16.5" hidden="false" customHeight="true" outlineLevel="0" collapsed="false">
      <c r="A161" s="72" t="n">
        <v>45813</v>
      </c>
      <c r="B161" s="68"/>
      <c r="D161" s="73" t="n">
        <v>0.786233946759259</v>
      </c>
      <c r="E161" s="74" t="n">
        <v>39508.9994837396</v>
      </c>
      <c r="F161" s="21" t="n">
        <v>126090.448283</v>
      </c>
      <c r="G161" s="75" t="n">
        <v>0.456321764438724</v>
      </c>
      <c r="H161" s="21" t="n">
        <v>89321.8394837396</v>
      </c>
      <c r="I161" s="21" t="n">
        <v>178405.788283</v>
      </c>
      <c r="J161" s="75" t="n">
        <v>1.00267041018821</v>
      </c>
    </row>
    <row r="162" customFormat="false" ht="16.5" hidden="false" customHeight="true" outlineLevel="0" collapsed="false">
      <c r="A162" s="72" t="n">
        <v>45812</v>
      </c>
      <c r="B162" s="68"/>
      <c r="D162" s="73" t="n">
        <v>0.684407060185185</v>
      </c>
      <c r="E162" s="74" t="n">
        <v>40503.2309452396</v>
      </c>
      <c r="F162" s="21" t="n">
        <v>127084.6797445</v>
      </c>
      <c r="G162" s="75" t="n">
        <v>0.467804957146727</v>
      </c>
      <c r="H162" s="21" t="n">
        <v>90153.5309452395</v>
      </c>
      <c r="I162" s="21" t="n">
        <v>179237.4797445</v>
      </c>
      <c r="J162" s="75" t="n">
        <v>1.01200645189617</v>
      </c>
    </row>
    <row r="163" customFormat="false" ht="16.5" hidden="false" customHeight="true" outlineLevel="0" collapsed="false">
      <c r="A163" s="72" t="n">
        <v>45811</v>
      </c>
      <c r="B163" s="68"/>
      <c r="D163" s="73" t="n">
        <v>0.5625</v>
      </c>
      <c r="E163" s="74" t="n">
        <v>38902.5205527395</v>
      </c>
      <c r="F163" s="21" t="n">
        <v>125483.969352</v>
      </c>
      <c r="G163" s="75" t="n">
        <v>0.449317042995379</v>
      </c>
      <c r="H163" s="21" t="n">
        <v>88324.7605527395</v>
      </c>
      <c r="I163" s="21" t="n">
        <v>177408.709352</v>
      </c>
      <c r="J163" s="75" t="n">
        <v>0.991477833473326</v>
      </c>
    </row>
    <row r="164" customFormat="false" ht="16.5" hidden="false" customHeight="true" outlineLevel="0" collapsed="false">
      <c r="A164" s="72" t="n">
        <v>45810</v>
      </c>
      <c r="B164" s="68"/>
      <c r="D164" s="73" t="n">
        <v>0.576179803240741</v>
      </c>
      <c r="E164" s="74" t="n">
        <v>37301.9663637395</v>
      </c>
      <c r="F164" s="21" t="n">
        <v>123883.415163</v>
      </c>
      <c r="G164" s="75" t="n">
        <v>0.430830932966072</v>
      </c>
      <c r="H164" s="21" t="n">
        <v>85628.0063637395</v>
      </c>
      <c r="I164" s="21" t="n">
        <v>174711.955163</v>
      </c>
      <c r="J164" s="75" t="n">
        <v>0.961205778570633</v>
      </c>
    </row>
    <row r="165" customFormat="false" ht="16.5" hidden="false" customHeight="true" outlineLevel="0" collapsed="false">
      <c r="A165" s="72" t="n">
        <v>45807</v>
      </c>
      <c r="B165" s="68"/>
      <c r="D165" s="73" t="n">
        <v>0.753905636574074</v>
      </c>
      <c r="E165" s="74" t="n">
        <v>34662.1553656396</v>
      </c>
      <c r="F165" s="21" t="n">
        <v>121243.6041649</v>
      </c>
      <c r="G165" s="75" t="n">
        <v>0.400341595646013</v>
      </c>
      <c r="H165" s="21" t="n">
        <v>84461.1353656396</v>
      </c>
      <c r="I165" s="21" t="n">
        <v>173545.0841649</v>
      </c>
      <c r="J165" s="75" t="n">
        <v>0.948107223625237</v>
      </c>
    </row>
    <row r="166" customFormat="false" ht="16.5" hidden="false" customHeight="true" outlineLevel="0" collapsed="false">
      <c r="A166" s="72" t="n">
        <v>45806</v>
      </c>
      <c r="B166" s="68"/>
      <c r="D166" s="73" t="n">
        <v>0.5625</v>
      </c>
      <c r="E166" s="74" t="n">
        <v>36204.9048946396</v>
      </c>
      <c r="F166" s="21" t="n">
        <v>122786.3536939</v>
      </c>
      <c r="G166" s="75" t="n">
        <v>0.418160072356618</v>
      </c>
      <c r="H166" s="21" t="n">
        <v>85785.9048946395</v>
      </c>
      <c r="I166" s="21" t="n">
        <v>174869.8536939</v>
      </c>
      <c r="J166" s="75" t="n">
        <v>0.962978247494926</v>
      </c>
    </row>
    <row r="167" customFormat="false" ht="16.5" hidden="false" customHeight="true" outlineLevel="0" collapsed="false">
      <c r="A167" s="72" t="n">
        <v>45805</v>
      </c>
      <c r="B167" s="68"/>
      <c r="D167" s="73" t="n">
        <v>0.556944444444445</v>
      </c>
      <c r="E167" s="74" t="n">
        <v>34061.4083001396</v>
      </c>
      <c r="F167" s="21" t="n">
        <v>120642.8570994</v>
      </c>
      <c r="G167" s="75" t="n">
        <v>0.393403076207596</v>
      </c>
      <c r="H167" s="21" t="n">
        <v>83500.0283001395</v>
      </c>
      <c r="I167" s="21" t="n">
        <v>172583.9770994</v>
      </c>
      <c r="J167" s="75" t="n">
        <v>0.937318444294565</v>
      </c>
    </row>
    <row r="168" customFormat="false" ht="16.5" hidden="false" customHeight="true" outlineLevel="0" collapsed="false">
      <c r="A168" s="72" t="n">
        <v>45804</v>
      </c>
      <c r="B168" s="68"/>
      <c r="D168" s="73" t="n">
        <v>0.556720717592593</v>
      </c>
      <c r="E168" s="74" t="n">
        <v>34343.1571083396</v>
      </c>
      <c r="F168" s="21" t="n">
        <v>120924.6059076</v>
      </c>
      <c r="G168" s="75" t="n">
        <v>0.396657223742748</v>
      </c>
      <c r="H168" s="21" t="n">
        <v>83891.3971083395</v>
      </c>
      <c r="I168" s="21" t="n">
        <v>172975.3459076</v>
      </c>
      <c r="J168" s="75" t="n">
        <v>0.941711702715135</v>
      </c>
    </row>
    <row r="169" customFormat="false" ht="16.5" hidden="false" customHeight="true" outlineLevel="0" collapsed="false">
      <c r="A169" s="72" t="n">
        <v>45800</v>
      </c>
      <c r="B169" s="68"/>
      <c r="D169" s="73" t="n">
        <v>0.699987997685185</v>
      </c>
      <c r="E169" s="74" t="n">
        <v>31119.2329455395</v>
      </c>
      <c r="F169" s="21" t="n">
        <v>117700.6817448</v>
      </c>
      <c r="G169" s="75" t="n">
        <v>0.35942148551579</v>
      </c>
      <c r="H169" s="21" t="n">
        <v>79985.8129455396</v>
      </c>
      <c r="I169" s="21" t="n">
        <v>169069.7617448</v>
      </c>
      <c r="J169" s="75" t="n">
        <v>0.897870087974856</v>
      </c>
    </row>
    <row r="170" customFormat="false" ht="16.5" hidden="false" customHeight="true" outlineLevel="0" collapsed="false">
      <c r="A170" s="72" t="n">
        <v>45799</v>
      </c>
      <c r="B170" s="68"/>
      <c r="D170" s="73" t="n">
        <v>0.673247523148148</v>
      </c>
      <c r="E170" s="74" t="n">
        <v>32603.9652352396</v>
      </c>
      <c r="F170" s="21" t="n">
        <v>118668.788659</v>
      </c>
      <c r="G170" s="75" t="n">
        <v>0.378830327399921</v>
      </c>
      <c r="H170" s="21" t="n">
        <v>82307.1852352396</v>
      </c>
      <c r="I170" s="21" t="n">
        <v>170874.508659</v>
      </c>
      <c r="J170" s="75" t="n">
        <v>0.929317744439802</v>
      </c>
    </row>
    <row r="171" customFormat="false" ht="16.5" hidden="false" customHeight="true" outlineLevel="0" collapsed="false">
      <c r="A171" s="72" t="n">
        <v>45798</v>
      </c>
      <c r="B171" s="68"/>
      <c r="D171" s="73" t="n">
        <v>0.57140775462963</v>
      </c>
      <c r="E171" s="74" t="n">
        <v>32517.1429510396</v>
      </c>
      <c r="F171" s="21" t="n">
        <v>118581.9663748</v>
      </c>
      <c r="G171" s="75" t="n">
        <v>0.377821526350362</v>
      </c>
      <c r="H171" s="21" t="n">
        <v>82182.5629510396</v>
      </c>
      <c r="I171" s="21" t="n">
        <v>170749.8863748</v>
      </c>
      <c r="J171" s="75" t="n">
        <v>0.927910653433972</v>
      </c>
    </row>
    <row r="172" customFormat="false" ht="16.5" hidden="false" customHeight="true" outlineLevel="0" collapsed="false">
      <c r="A172" s="72" t="n">
        <v>45797</v>
      </c>
      <c r="B172" s="68"/>
      <c r="D172" s="73" t="n">
        <v>0.594009050925926</v>
      </c>
      <c r="E172" s="74" t="n">
        <v>33914.1459752395</v>
      </c>
      <c r="F172" s="21" t="n">
        <v>119978.969399</v>
      </c>
      <c r="G172" s="75" t="n">
        <v>0.394053512528054</v>
      </c>
      <c r="H172" s="21" t="n">
        <v>84030.6459752396</v>
      </c>
      <c r="I172" s="21" t="n">
        <v>172597.969399</v>
      </c>
      <c r="J172" s="75" t="n">
        <v>0.948777074059078</v>
      </c>
    </row>
    <row r="173" customFormat="false" ht="16.5" hidden="false" customHeight="true" outlineLevel="0" collapsed="false">
      <c r="A173" s="72" t="n">
        <v>45796</v>
      </c>
      <c r="B173" s="68"/>
      <c r="D173" s="73" t="n">
        <v>0.556633854166667</v>
      </c>
      <c r="E173" s="74" t="n">
        <v>34637.9931892395</v>
      </c>
      <c r="F173" s="21" t="n">
        <v>120702.816613</v>
      </c>
      <c r="G173" s="75" t="n">
        <v>0.402464001101719</v>
      </c>
      <c r="H173" s="21" t="n">
        <v>85141.3131892395</v>
      </c>
      <c r="I173" s="21" t="n">
        <v>173708.636613</v>
      </c>
      <c r="J173" s="75" t="n">
        <v>0.961317446411598</v>
      </c>
    </row>
    <row r="174" customFormat="false" ht="16.5" hidden="false" customHeight="true" outlineLevel="0" collapsed="false">
      <c r="A174" s="72" t="n">
        <v>45793</v>
      </c>
      <c r="B174" s="68"/>
      <c r="D174" s="73" t="n">
        <v>0.628750289351852</v>
      </c>
      <c r="E174" s="74" t="n">
        <v>34448.2906666396</v>
      </c>
      <c r="F174" s="21" t="n">
        <v>120513.1140904</v>
      </c>
      <c r="G174" s="75" t="n">
        <v>0.400259819241425</v>
      </c>
      <c r="H174" s="21" t="n">
        <v>84504.3106666396</v>
      </c>
      <c r="I174" s="21" t="n">
        <v>173071.6340904</v>
      </c>
      <c r="J174" s="75" t="n">
        <v>0.954125149094989</v>
      </c>
    </row>
    <row r="175" customFormat="false" ht="16.5" hidden="false" customHeight="true" outlineLevel="0" collapsed="false">
      <c r="A175" s="72" t="n">
        <v>45792</v>
      </c>
      <c r="B175" s="68"/>
      <c r="D175" s="73" t="n">
        <v>0.695478425925926</v>
      </c>
      <c r="E175" s="74" t="n">
        <v>34279.7627557396</v>
      </c>
      <c r="F175" s="21" t="n">
        <v>120344.5861795</v>
      </c>
      <c r="G175" s="75" t="n">
        <v>0.398301668347765</v>
      </c>
      <c r="H175" s="21" t="n">
        <v>82768.3427557395</v>
      </c>
      <c r="I175" s="21" t="n">
        <v>171335.6661795</v>
      </c>
      <c r="J175" s="75" t="n">
        <v>0.934524602936514</v>
      </c>
    </row>
    <row r="176" customFormat="false" ht="16.5" hidden="false" customHeight="true" outlineLevel="0" collapsed="false">
      <c r="A176" s="72" t="n">
        <v>45791</v>
      </c>
      <c r="B176" s="68"/>
      <c r="D176" s="73" t="n">
        <v>0.559872361111111</v>
      </c>
      <c r="E176" s="74" t="n">
        <v>36330.6819959395</v>
      </c>
      <c r="F176" s="21" t="n">
        <v>121247.9854197</v>
      </c>
      <c r="G176" s="75" t="n">
        <v>0.427836030245091</v>
      </c>
      <c r="H176" s="21" t="n">
        <v>84022.9419959396</v>
      </c>
      <c r="I176" s="21" t="n">
        <v>171442.7454197</v>
      </c>
      <c r="J176" s="75" t="n">
        <v>0.961143112947133</v>
      </c>
    </row>
    <row r="177" customFormat="false" ht="16.5" hidden="false" customHeight="true" outlineLevel="0" collapsed="false">
      <c r="A177" s="72" t="n">
        <v>45790</v>
      </c>
      <c r="B177" s="68"/>
      <c r="D177" s="73" t="n">
        <v>0.70968994212963</v>
      </c>
      <c r="E177" s="74" t="n">
        <v>34052.9206107396</v>
      </c>
      <c r="F177" s="21" t="n">
        <v>118970.2240345</v>
      </c>
      <c r="G177" s="75" t="n">
        <v>0.401012741075941</v>
      </c>
      <c r="H177" s="21" t="n">
        <v>81622.9606107395</v>
      </c>
      <c r="I177" s="21" t="n">
        <v>169042.7640345</v>
      </c>
      <c r="J177" s="75" t="n">
        <v>0.933689592220641</v>
      </c>
    </row>
    <row r="178" customFormat="false" ht="16.5" hidden="false" customHeight="true" outlineLevel="0" collapsed="false">
      <c r="A178" s="72" t="n">
        <v>45789</v>
      </c>
      <c r="B178" s="68"/>
      <c r="D178" s="73" t="n">
        <v>0.551986782407407</v>
      </c>
      <c r="E178" s="74" t="n">
        <v>29655.3577190395</v>
      </c>
      <c r="F178" s="21" t="n">
        <v>114572.6611428</v>
      </c>
      <c r="G178" s="75" t="n">
        <v>0.349226324004323</v>
      </c>
      <c r="H178" s="21" t="n">
        <v>77021.2777190395</v>
      </c>
      <c r="I178" s="21" t="n">
        <v>164441.0811428</v>
      </c>
      <c r="J178" s="75" t="n">
        <v>0.881050685342829</v>
      </c>
    </row>
    <row r="179" customFormat="false" ht="16.5" hidden="false" customHeight="true" outlineLevel="0" collapsed="false">
      <c r="A179" s="72" t="n">
        <v>45786</v>
      </c>
      <c r="B179" s="68"/>
      <c r="D179" s="73" t="n">
        <v>0.687189328703704</v>
      </c>
      <c r="E179" s="74" t="n">
        <v>23958.9640902395</v>
      </c>
      <c r="F179" s="21" t="n">
        <v>108876.267514</v>
      </c>
      <c r="G179" s="75" t="n">
        <v>0.282144664564745</v>
      </c>
      <c r="H179" s="21" t="n">
        <v>69749.8840902396</v>
      </c>
      <c r="I179" s="21" t="n">
        <v>157169.687514</v>
      </c>
      <c r="J179" s="75" t="n">
        <v>0.797872808660214</v>
      </c>
    </row>
    <row r="180" customFormat="false" ht="16.5" hidden="false" customHeight="true" outlineLevel="0" collapsed="false">
      <c r="A180" s="72" t="n">
        <v>45785</v>
      </c>
      <c r="B180" s="68"/>
      <c r="D180" s="73" t="n">
        <v>0.605242592592593</v>
      </c>
      <c r="E180" s="74" t="n">
        <v>25062.1712387395</v>
      </c>
      <c r="F180" s="21" t="n">
        <v>109979.4746625</v>
      </c>
      <c r="G180" s="75" t="n">
        <v>0.295136211682</v>
      </c>
      <c r="H180" s="21" t="n">
        <v>70942.5512387395</v>
      </c>
      <c r="I180" s="21" t="n">
        <v>158362.3546625</v>
      </c>
      <c r="J180" s="75" t="n">
        <v>0.811515794594632</v>
      </c>
    </row>
    <row r="181" customFormat="false" ht="16.5" hidden="false" customHeight="true" outlineLevel="0" collapsed="false">
      <c r="A181" s="72" t="n">
        <v>45784</v>
      </c>
      <c r="B181" s="68"/>
      <c r="D181" s="73" t="n">
        <v>0.576821875</v>
      </c>
      <c r="E181" s="74" t="n">
        <v>24567.6016955395</v>
      </c>
      <c r="F181" s="21" t="n">
        <v>109484.9051193</v>
      </c>
      <c r="G181" s="75" t="n">
        <v>0.289312080165105</v>
      </c>
      <c r="H181" s="21" t="n">
        <v>70571.4616955396</v>
      </c>
      <c r="I181" s="21" t="n">
        <v>157991.2651193</v>
      </c>
      <c r="J181" s="75" t="n">
        <v>0.807270880643028</v>
      </c>
    </row>
    <row r="182" customFormat="false" ht="16.5" hidden="false" customHeight="true" outlineLevel="0" collapsed="false">
      <c r="A182" s="72" t="n">
        <v>45783</v>
      </c>
      <c r="B182" s="68"/>
      <c r="D182" s="73" t="n">
        <v>0.630699780092593</v>
      </c>
      <c r="E182" s="74" t="n">
        <v>23124.2826013849</v>
      </c>
      <c r="F182" s="21" t="n">
        <v>108041.5842753</v>
      </c>
      <c r="G182" s="75" t="n">
        <v>0.272315324975619</v>
      </c>
      <c r="H182" s="21" t="n">
        <v>68877.4026013849</v>
      </c>
      <c r="I182" s="21" t="n">
        <v>156297.2042753</v>
      </c>
      <c r="J182" s="75" t="n">
        <v>0.787892460089359</v>
      </c>
    </row>
    <row r="183" customFormat="false" ht="16.5" hidden="false" customHeight="true" outlineLevel="0" collapsed="false">
      <c r="A183" s="72" t="n">
        <v>45782</v>
      </c>
      <c r="B183" s="68"/>
      <c r="D183" s="73" t="n">
        <v>0.557520902777778</v>
      </c>
      <c r="E183" s="74" t="n">
        <v>23879.2912002849</v>
      </c>
      <c r="F183" s="21" t="n">
        <v>108796.5928742</v>
      </c>
      <c r="G183" s="75" t="n">
        <v>0.281206429426856</v>
      </c>
      <c r="H183" s="21" t="n">
        <v>69390.4912002849</v>
      </c>
      <c r="I183" s="21" t="n">
        <v>156810.2928742</v>
      </c>
      <c r="J183" s="75" t="n">
        <v>0.793761709264893</v>
      </c>
    </row>
    <row r="184" customFormat="false" ht="16.5" hidden="false" customHeight="true" outlineLevel="0" collapsed="false">
      <c r="A184" s="72" t="n">
        <v>45779</v>
      </c>
      <c r="B184" s="68"/>
      <c r="D184" s="73" t="n">
        <v>0.335231585648148</v>
      </c>
      <c r="E184" s="74" t="n">
        <v>25394.1603798849</v>
      </c>
      <c r="F184" s="21" t="n">
        <v>109085.3958538</v>
      </c>
      <c r="G184" s="75" t="n">
        <v>0.303426759517724</v>
      </c>
      <c r="H184" s="21" t="n">
        <v>71086.9203798849</v>
      </c>
      <c r="I184" s="21" t="n">
        <v>157075.1558538</v>
      </c>
      <c r="J184" s="75" t="n">
        <v>0.826705188077145</v>
      </c>
    </row>
    <row r="185" customFormat="false" ht="16.5" hidden="false" customHeight="true" outlineLevel="0" collapsed="false">
      <c r="A185" s="72" t="n">
        <v>45778</v>
      </c>
      <c r="B185" s="68"/>
      <c r="D185" s="73" t="n">
        <v>0.333998958333333</v>
      </c>
      <c r="E185" s="74" t="n">
        <v>22538.3811071849</v>
      </c>
      <c r="F185" s="21" t="n">
        <v>106229.6165811</v>
      </c>
      <c r="G185" s="75" t="n">
        <v>0.269303959722397</v>
      </c>
      <c r="H185" s="21" t="n">
        <v>67444.9011071849</v>
      </c>
      <c r="I185" s="21" t="n">
        <v>153433.1365811</v>
      </c>
      <c r="J185" s="75" t="n">
        <v>0.784350332757375</v>
      </c>
    </row>
    <row r="186" customFormat="false" ht="16.5" hidden="false" customHeight="true" outlineLevel="0" collapsed="false">
      <c r="A186" s="72" t="n">
        <v>45777</v>
      </c>
      <c r="B186" s="68"/>
      <c r="D186" s="73" t="n">
        <v>0.863963356481481</v>
      </c>
      <c r="E186" s="74" t="n">
        <v>19795.2102146849</v>
      </c>
      <c r="F186" s="21" t="n">
        <v>103541.7856886</v>
      </c>
      <c r="G186" s="75" t="n">
        <v>0.236370384134102</v>
      </c>
      <c r="H186" s="21" t="n">
        <v>64540.4702146849</v>
      </c>
      <c r="I186" s="21" t="n">
        <v>150789.4056886</v>
      </c>
      <c r="J186" s="75" t="n">
        <v>0.748304542659593</v>
      </c>
    </row>
    <row r="187" customFormat="false" ht="16.5" hidden="false" customHeight="true" outlineLevel="0" collapsed="false">
      <c r="A187" s="72" t="n">
        <v>45776</v>
      </c>
      <c r="B187" s="68"/>
      <c r="D187" s="73" t="n">
        <v>0.562232268518519</v>
      </c>
      <c r="E187" s="74" t="n">
        <v>20236.1726562031</v>
      </c>
      <c r="F187" s="21" t="n">
        <v>103982.748130118</v>
      </c>
      <c r="G187" s="75" t="n">
        <v>0.241635822619471</v>
      </c>
      <c r="H187" s="21" t="n">
        <v>64477.4340404804</v>
      </c>
      <c r="I187" s="21" t="n">
        <v>150726.369514396</v>
      </c>
      <c r="J187" s="75" t="n">
        <v>0.747573679445363</v>
      </c>
    </row>
    <row r="188" customFormat="false" ht="16.5" hidden="false" customHeight="true" outlineLevel="0" collapsed="false">
      <c r="A188" s="72" t="n">
        <v>45775</v>
      </c>
      <c r="B188" s="68"/>
      <c r="D188" s="73" t="n">
        <v>0.647923865740741</v>
      </c>
      <c r="E188" s="74" t="n">
        <v>19593.1532509903</v>
      </c>
      <c r="F188" s="21" t="n">
        <v>103339.728724905</v>
      </c>
      <c r="G188" s="75" t="n">
        <v>0.233957665016321</v>
      </c>
      <c r="H188" s="21" t="n">
        <v>63537.0526357559</v>
      </c>
      <c r="I188" s="21" t="n">
        <v>149785.988109671</v>
      </c>
      <c r="J188" s="75" t="n">
        <v>0.736670572067198</v>
      </c>
    </row>
    <row r="189" customFormat="false" ht="16.5" hidden="false" customHeight="true" outlineLevel="0" collapsed="false">
      <c r="A189" s="72" t="n">
        <v>45773</v>
      </c>
      <c r="B189" s="68"/>
      <c r="D189" s="73" t="n">
        <v>0.803770972222222</v>
      </c>
      <c r="E189" s="74" t="n">
        <v>20527.8207594323</v>
      </c>
      <c r="F189" s="21" t="n">
        <v>104274.396233347</v>
      </c>
      <c r="G189" s="75" t="n">
        <v>0.245118330430433</v>
      </c>
      <c r="H189" s="21" t="n">
        <v>64354.5820263475</v>
      </c>
      <c r="I189" s="21" t="n">
        <v>150399.532884863</v>
      </c>
      <c r="J189" s="75" t="n">
        <v>0.747918168169642</v>
      </c>
    </row>
    <row r="190" customFormat="false" ht="16.5" hidden="false" customHeight="true" outlineLevel="0" collapsed="false">
      <c r="A190" s="72" t="n">
        <v>45771</v>
      </c>
      <c r="B190" s="68"/>
      <c r="D190" s="73" t="n">
        <v>0.79247712962963</v>
      </c>
      <c r="E190" s="74" t="n">
        <v>17468.9932554718</v>
      </c>
      <c r="F190" s="21" t="n">
        <v>101011.440113987</v>
      </c>
      <c r="G190" s="75" t="n">
        <v>0.20910320336986</v>
      </c>
      <c r="H190" s="21" t="n">
        <v>60441.2937168976</v>
      </c>
      <c r="I190" s="21" t="n">
        <v>146486.244575413</v>
      </c>
      <c r="J190" s="75" t="n">
        <v>0.70243858720173</v>
      </c>
    </row>
    <row r="191" customFormat="false" ht="16.5" hidden="false" customHeight="true" outlineLevel="0" collapsed="false">
      <c r="A191" s="72" t="n">
        <v>45770</v>
      </c>
      <c r="B191" s="68"/>
      <c r="D191" s="73" t="n">
        <v>0.651675347222222</v>
      </c>
      <c r="E191" s="74" t="n">
        <v>14276.0450653263</v>
      </c>
      <c r="F191" s="21" t="n">
        <v>97814.4423629414</v>
      </c>
      <c r="G191" s="75" t="n">
        <v>0.170892015254569</v>
      </c>
      <c r="H191" s="21" t="n">
        <v>56120.6439886661</v>
      </c>
      <c r="I191" s="21" t="n">
        <v>142161.545286281</v>
      </c>
      <c r="J191" s="75" t="n">
        <v>0.652255417392073</v>
      </c>
    </row>
    <row r="192" customFormat="false" ht="16.5" hidden="false" customHeight="true" outlineLevel="0" collapsed="false">
      <c r="A192" s="72" t="n">
        <v>45769</v>
      </c>
      <c r="B192" s="68"/>
      <c r="D192" s="73" t="n">
        <v>0.576388888888889</v>
      </c>
      <c r="E192" s="74" t="n">
        <v>10673.3762337599</v>
      </c>
      <c r="F192" s="21" t="n">
        <v>94211.7735313751</v>
      </c>
      <c r="G192" s="75" t="n">
        <v>0.127766112099742</v>
      </c>
      <c r="H192" s="21" t="n">
        <v>52259.6766951857</v>
      </c>
      <c r="I192" s="21" t="n">
        <v>138300.577992801</v>
      </c>
      <c r="J192" s="75" t="n">
        <v>0.607381790602352</v>
      </c>
    </row>
    <row r="193" customFormat="false" ht="16.5" hidden="false" customHeight="true" outlineLevel="0" collapsed="false">
      <c r="A193" s="72" t="n">
        <v>45768</v>
      </c>
      <c r="B193" s="68"/>
      <c r="D193" s="73" t="n">
        <v>0.643925381944444</v>
      </c>
      <c r="E193" s="74" t="n">
        <v>8340.10652540452</v>
      </c>
      <c r="F193" s="21" t="n">
        <v>91878.5038230197</v>
      </c>
      <c r="G193" s="75" t="n">
        <v>0.0998356060829361</v>
      </c>
      <c r="H193" s="21" t="n">
        <v>49083.4666792131</v>
      </c>
      <c r="I193" s="21" t="n">
        <v>135124.367976828</v>
      </c>
      <c r="J193" s="75" t="n">
        <v>0.570466672698297</v>
      </c>
    </row>
    <row r="194" customFormat="false" ht="16.5" hidden="false" customHeight="true" outlineLevel="0" collapsed="false">
      <c r="A194" s="72" t="n">
        <v>45763</v>
      </c>
      <c r="B194" s="68"/>
      <c r="D194" s="73" t="n">
        <v>0.611756030092593</v>
      </c>
      <c r="E194" s="74" t="n">
        <v>13614.7375478312</v>
      </c>
      <c r="F194" s="21" t="n">
        <v>97153.1348454464</v>
      </c>
      <c r="G194" s="75" t="n">
        <v>0.162975804998116</v>
      </c>
      <c r="H194" s="21" t="n">
        <v>54480.3178554484</v>
      </c>
      <c r="I194" s="21" t="n">
        <v>140521.219153064</v>
      </c>
      <c r="J194" s="75" t="n">
        <v>0.633190924709182</v>
      </c>
    </row>
    <row r="195" customFormat="false" ht="16.5" hidden="false" customHeight="true" outlineLevel="0" collapsed="false">
      <c r="A195" s="72" t="n">
        <v>45762</v>
      </c>
      <c r="B195" s="68"/>
      <c r="D195" s="73" t="n">
        <v>0.625753229166667</v>
      </c>
      <c r="E195" s="74" t="n">
        <v>18684.8730059907</v>
      </c>
      <c r="F195" s="21" t="n">
        <v>102223.270303606</v>
      </c>
      <c r="G195" s="75" t="n">
        <v>0.223668080911628</v>
      </c>
      <c r="H195" s="21" t="n">
        <v>60330.393621225</v>
      </c>
      <c r="I195" s="21" t="n">
        <v>146371.29491884</v>
      </c>
      <c r="J195" s="75" t="n">
        <v>0.701182724859453</v>
      </c>
    </row>
    <row r="196" customFormat="false" ht="16.5" hidden="false" customHeight="true" outlineLevel="0" collapsed="false">
      <c r="A196" s="72" t="n">
        <v>45761</v>
      </c>
      <c r="B196" s="68"/>
      <c r="D196" s="73" t="n">
        <v>0.563194444444444</v>
      </c>
      <c r="E196" s="74" t="n">
        <v>18232.7276067708</v>
      </c>
      <c r="F196" s="21" t="n">
        <v>101771.124904386</v>
      </c>
      <c r="G196" s="75" t="n">
        <v>0.218255654843539</v>
      </c>
      <c r="H196" s="21" t="n">
        <v>59945.0280681965</v>
      </c>
      <c r="I196" s="21" t="n">
        <v>145985.929365812</v>
      </c>
      <c r="J196" s="75" t="n">
        <v>0.696703860189085</v>
      </c>
    </row>
    <row r="197" customFormat="false" ht="16.5" hidden="false" customHeight="true" outlineLevel="0" collapsed="false">
      <c r="A197" s="72" t="n">
        <v>45758</v>
      </c>
      <c r="B197" s="68"/>
      <c r="D197" s="73" t="n">
        <v>0.634122094907407</v>
      </c>
      <c r="E197" s="74" t="n">
        <v>18981.2602887929</v>
      </c>
      <c r="F197" s="21" t="n">
        <v>102519.657586408</v>
      </c>
      <c r="G197" s="75" t="n">
        <v>0.22721599770666</v>
      </c>
      <c r="H197" s="21" t="n">
        <v>60890.1204426015</v>
      </c>
      <c r="I197" s="21" t="n">
        <v>146931.021740217</v>
      </c>
      <c r="J197" s="75" t="n">
        <v>0.707688082345661</v>
      </c>
    </row>
    <row r="198" customFormat="false" ht="16.5" hidden="false" customHeight="true" outlineLevel="0" collapsed="false">
      <c r="A198" s="72" t="n">
        <v>45757</v>
      </c>
      <c r="B198" s="68"/>
      <c r="D198" s="73" t="n">
        <v>0.59281931712963</v>
      </c>
      <c r="E198" s="74" t="n">
        <v>17001.745648583</v>
      </c>
      <c r="F198" s="21" t="n">
        <v>100540.142946198</v>
      </c>
      <c r="G198" s="75" t="n">
        <v>0.203520132041944</v>
      </c>
      <c r="H198" s="21" t="n">
        <v>58605.6841104971</v>
      </c>
      <c r="I198" s="21" t="n">
        <v>144646.585408112</v>
      </c>
      <c r="J198" s="75" t="n">
        <v>0.681137496546907</v>
      </c>
    </row>
    <row r="199" customFormat="false" ht="16.5" hidden="false" customHeight="true" outlineLevel="0" collapsed="false">
      <c r="A199" s="72" t="n">
        <v>45756</v>
      </c>
      <c r="B199" s="68"/>
      <c r="D199" s="73" t="n">
        <v>0.567199675925926</v>
      </c>
      <c r="E199" s="74" t="n">
        <v>22757.314413013</v>
      </c>
      <c r="F199" s="21" t="n">
        <v>106295.711710628</v>
      </c>
      <c r="G199" s="75" t="n">
        <v>0.272417417010497</v>
      </c>
      <c r="H199" s="21" t="n">
        <v>66199.5962587162</v>
      </c>
      <c r="I199" s="21" t="n">
        <v>152240.497556331</v>
      </c>
      <c r="J199" s="75" t="n">
        <v>0.769396824769792</v>
      </c>
    </row>
    <row r="200" customFormat="false" ht="16.5" hidden="false" customHeight="true" outlineLevel="0" collapsed="false">
      <c r="A200" s="72" t="n">
        <v>45755</v>
      </c>
      <c r="B200" s="68"/>
      <c r="D200" s="73" t="n">
        <v>0.754165625</v>
      </c>
      <c r="E200" s="74" t="n">
        <v>8289.0466043521</v>
      </c>
      <c r="F200" s="21" t="n">
        <v>91827.4439019672</v>
      </c>
      <c r="G200" s="75" t="n">
        <v>0.0992243910883449</v>
      </c>
      <c r="H200" s="21" t="n">
        <v>48626.6866043521</v>
      </c>
      <c r="I200" s="21" t="n">
        <v>134667.587901967</v>
      </c>
      <c r="J200" s="75" t="n">
        <v>0.565157801359525</v>
      </c>
    </row>
    <row r="201" customFormat="false" ht="16.5" hidden="false" customHeight="true" outlineLevel="0" collapsed="false">
      <c r="A201" s="72" t="n">
        <v>45754</v>
      </c>
      <c r="B201" s="68"/>
      <c r="D201" s="73" t="n">
        <v>0.664101041666667</v>
      </c>
      <c r="E201" s="74" t="n">
        <v>9436.49643237198</v>
      </c>
      <c r="F201" s="21" t="n">
        <v>94157.3637299871</v>
      </c>
      <c r="G201" s="75" t="n">
        <v>0.11138337853911</v>
      </c>
      <c r="H201" s="21" t="n">
        <v>52429.0580681142</v>
      </c>
      <c r="I201" s="21" t="n">
        <v>139811.309365729</v>
      </c>
      <c r="J201" s="75" t="n">
        <v>0.599996650229874</v>
      </c>
    </row>
    <row r="202" customFormat="false" ht="16.5" hidden="false" customHeight="true" outlineLevel="0" collapsed="false">
      <c r="A202" s="72" t="n">
        <v>45751</v>
      </c>
      <c r="B202" s="68"/>
      <c r="D202" s="73" t="n">
        <v>0.5471078125</v>
      </c>
      <c r="E202" s="74" t="n">
        <v>7128.09020574721</v>
      </c>
      <c r="F202" s="21" t="n">
        <v>91848.9575033624</v>
      </c>
      <c r="G202" s="75" t="n">
        <v>0.0841361807676851</v>
      </c>
      <c r="H202" s="21" t="n">
        <v>51242.2311871925</v>
      </c>
      <c r="I202" s="21" t="n">
        <v>138624.482484808</v>
      </c>
      <c r="J202" s="75" t="n">
        <v>0.586414637140289</v>
      </c>
    </row>
    <row r="203" customFormat="false" ht="16.5" hidden="false" customHeight="true" outlineLevel="0" collapsed="false">
      <c r="A203" s="72" t="n">
        <v>45750</v>
      </c>
      <c r="B203" s="68"/>
      <c r="D203" s="73" t="n">
        <v>0.6358809375</v>
      </c>
      <c r="E203" s="74" t="n">
        <v>13505.5643283054</v>
      </c>
      <c r="F203" s="21" t="n">
        <v>98116.4931259206</v>
      </c>
      <c r="G203" s="75" t="n">
        <v>0.159619620304725</v>
      </c>
      <c r="H203" s="21" t="n">
        <v>60055.8243283054</v>
      </c>
      <c r="I203" s="21" t="n">
        <v>147328.137125921</v>
      </c>
      <c r="J203" s="75" t="n">
        <v>0.688142921886064</v>
      </c>
    </row>
    <row r="204" customFormat="false" ht="16.5" hidden="false" customHeight="true" outlineLevel="0" collapsed="false">
      <c r="A204" s="72" t="n">
        <v>45749</v>
      </c>
      <c r="B204" s="68"/>
      <c r="D204" s="73" t="n">
        <v>0.746634212962963</v>
      </c>
      <c r="E204" s="74" t="n">
        <v>21711.1721564252</v>
      </c>
      <c r="F204" s="21" t="n">
        <v>106322.10095404</v>
      </c>
      <c r="G204" s="75" t="n">
        <v>0.256600092505274</v>
      </c>
      <c r="H204" s="21" t="n">
        <v>70744.4519928509</v>
      </c>
      <c r="I204" s="21" t="n">
        <v>158016.764790466</v>
      </c>
      <c r="J204" s="75" t="n">
        <v>0.810617362197191</v>
      </c>
    </row>
    <row r="205" customFormat="false" ht="16.5" hidden="false" customHeight="true" outlineLevel="0" collapsed="false">
      <c r="A205" s="72" t="n">
        <v>45748</v>
      </c>
      <c r="B205" s="68"/>
      <c r="D205" s="73" t="n">
        <v>0.649448912037037</v>
      </c>
      <c r="E205" s="74" t="n">
        <v>21207.3106259218</v>
      </c>
      <c r="F205" s="21" t="n">
        <v>105818.239423537</v>
      </c>
      <c r="G205" s="75" t="n">
        <v>0.250645051736148</v>
      </c>
      <c r="H205" s="21" t="n">
        <v>69894.872261664</v>
      </c>
      <c r="I205" s="21" t="n">
        <v>157167.185059279</v>
      </c>
      <c r="J205" s="75" t="n">
        <v>0.800882548211487</v>
      </c>
    </row>
    <row r="206" customFormat="false" ht="16.5" hidden="false" customHeight="true" outlineLevel="0" collapsed="false">
      <c r="A206" s="72" t="n">
        <v>45747</v>
      </c>
      <c r="B206" s="68"/>
      <c r="D206" s="73" t="n">
        <v>0.67046462962963</v>
      </c>
      <c r="E206" s="74" t="n">
        <v>19656.4511868783</v>
      </c>
      <c r="F206" s="21" t="n">
        <v>104014.857724393</v>
      </c>
      <c r="G206" s="75" t="n">
        <v>0.233011172136553</v>
      </c>
      <c r="H206" s="21" t="n">
        <v>68388.2310233041</v>
      </c>
      <c r="I206" s="21" t="n">
        <v>155408.021560819</v>
      </c>
      <c r="J206" s="75" t="n">
        <v>0.785892848062202</v>
      </c>
    </row>
    <row r="207" customFormat="false" ht="16.5" hidden="false" customHeight="true" outlineLevel="0" collapsed="false">
      <c r="A207" s="72" t="n">
        <v>45744</v>
      </c>
      <c r="B207" s="68"/>
      <c r="D207" s="73" t="n">
        <v>0.71379037037037</v>
      </c>
      <c r="E207" s="74" t="n">
        <v>20366.6532278564</v>
      </c>
      <c r="F207" s="21" t="n">
        <v>104725.059765372</v>
      </c>
      <c r="G207" s="75" t="n">
        <v>0.241430037192548</v>
      </c>
      <c r="H207" s="21" t="n">
        <v>69390.5520828369</v>
      </c>
      <c r="I207" s="21" t="n">
        <v>156410.342620352</v>
      </c>
      <c r="J207" s="75" t="n">
        <v>0.797411159624911</v>
      </c>
    </row>
    <row r="208" customFormat="false" ht="16.5" hidden="false" customHeight="true" outlineLevel="0" collapsed="false">
      <c r="A208" s="72" t="n">
        <v>45742</v>
      </c>
      <c r="B208" s="68"/>
      <c r="D208" s="73" t="n">
        <v>0.652303483796296</v>
      </c>
      <c r="E208" s="74" t="n">
        <v>24988.6324534059</v>
      </c>
      <c r="F208" s="21" t="n">
        <v>109347.038990921</v>
      </c>
      <c r="G208" s="75" t="n">
        <v>0.296219825374406</v>
      </c>
      <c r="H208" s="21" t="n">
        <v>75633.9321262575</v>
      </c>
      <c r="I208" s="21" t="n">
        <v>162653.722663773</v>
      </c>
      <c r="J208" s="75" t="n">
        <v>0.869157827881129</v>
      </c>
    </row>
    <row r="209" customFormat="false" ht="16.5" hidden="false" customHeight="true" outlineLevel="0" collapsed="false">
      <c r="A209" s="72" t="n">
        <v>45741</v>
      </c>
      <c r="B209" s="68"/>
      <c r="D209" s="73" t="n">
        <v>0.594886030092593</v>
      </c>
      <c r="E209" s="74" t="n">
        <v>29441.3971341098</v>
      </c>
      <c r="F209" s="21" t="n">
        <v>113799.803671625</v>
      </c>
      <c r="G209" s="75" t="n">
        <v>0.349003713352704</v>
      </c>
      <c r="H209" s="21" t="n">
        <v>80867.9190970004</v>
      </c>
      <c r="I209" s="21" t="n">
        <v>167887.709634516</v>
      </c>
      <c r="J209" s="75" t="n">
        <v>0.929304915554094</v>
      </c>
    </row>
    <row r="210" customFormat="false" ht="16.5" hidden="false" customHeight="true" outlineLevel="0" collapsed="false">
      <c r="A210" s="72" t="n">
        <v>45740</v>
      </c>
      <c r="B210" s="68"/>
      <c r="D210" s="73" t="n">
        <v>0.715789270833333</v>
      </c>
      <c r="E210" s="74" t="n">
        <v>28871.3029397532</v>
      </c>
      <c r="F210" s="21" t="n">
        <v>113229.709477268</v>
      </c>
      <c r="G210" s="75" t="n">
        <v>0.34224571236909</v>
      </c>
      <c r="H210" s="21" t="n">
        <v>79069.0431033274</v>
      </c>
      <c r="I210" s="21" t="n">
        <v>166088.833640843</v>
      </c>
      <c r="J210" s="75" t="n">
        <v>0.908632882415867</v>
      </c>
    </row>
    <row r="211" customFormat="false" ht="16.5" hidden="false" customHeight="true" outlineLevel="0" collapsed="false">
      <c r="A211" s="72" t="n">
        <v>45737</v>
      </c>
      <c r="B211" s="68"/>
      <c r="D211" s="73" t="n">
        <v>0.665827407407407</v>
      </c>
      <c r="E211" s="74" t="n">
        <v>25302.6364159815</v>
      </c>
      <c r="F211" s="21" t="n">
        <v>109661.042953497</v>
      </c>
      <c r="G211" s="75" t="n">
        <v>0.299942085851623</v>
      </c>
      <c r="H211" s="21" t="n">
        <v>74534.2377245752</v>
      </c>
      <c r="I211" s="21" t="n">
        <v>161554.02826209</v>
      </c>
      <c r="J211" s="75" t="n">
        <v>0.856520537043154</v>
      </c>
    </row>
    <row r="212" customFormat="false" ht="16.5" hidden="false" customHeight="true" outlineLevel="0" collapsed="false">
      <c r="A212" s="72" t="n">
        <v>45736</v>
      </c>
      <c r="B212" s="68"/>
      <c r="D212" s="73" t="n">
        <v>0.704948784722222</v>
      </c>
      <c r="E212" s="74" t="n">
        <v>25345.9526868884</v>
      </c>
      <c r="F212" s="21" t="n">
        <v>109704.359224404</v>
      </c>
      <c r="G212" s="75" t="n">
        <v>0.300455564859642</v>
      </c>
      <c r="H212" s="21" t="n">
        <v>74892.4507239978</v>
      </c>
      <c r="I212" s="21" t="n">
        <v>161912.241261513</v>
      </c>
      <c r="J212" s="75" t="n">
        <v>0.860636991440595</v>
      </c>
    </row>
    <row r="213" customFormat="false" ht="16.5" hidden="false" customHeight="true" outlineLevel="0" collapsed="false">
      <c r="A213" s="72" t="n">
        <v>45735</v>
      </c>
      <c r="B213" s="68"/>
      <c r="D213" s="73" t="n">
        <v>0.566156053240741</v>
      </c>
      <c r="E213" s="74" t="n">
        <v>25005.0588329457</v>
      </c>
      <c r="F213" s="21" t="n">
        <v>109363.465370461</v>
      </c>
      <c r="G213" s="75" t="n">
        <v>0.296414546685702</v>
      </c>
      <c r="H213" s="21" t="n">
        <v>74321.0807958363</v>
      </c>
      <c r="I213" s="21" t="n">
        <v>161340.871333351</v>
      </c>
      <c r="J213" s="75" t="n">
        <v>0.854071014613575</v>
      </c>
    </row>
    <row r="214" customFormat="false" ht="16.5" hidden="false" customHeight="true" outlineLevel="0" collapsed="false">
      <c r="A214" s="72" t="n">
        <v>45734</v>
      </c>
      <c r="B214" s="68"/>
      <c r="D214" s="73" t="n">
        <v>0.726304537037037</v>
      </c>
      <c r="E214" s="74" t="n">
        <v>23404.5831571775</v>
      </c>
      <c r="F214" s="21" t="n">
        <v>107762.989694693</v>
      </c>
      <c r="G214" s="75" t="n">
        <v>0.277442214923408</v>
      </c>
      <c r="H214" s="21" t="n">
        <v>73186.9225028806</v>
      </c>
      <c r="I214" s="21" t="n">
        <v>160206.713040396</v>
      </c>
      <c r="J214" s="75" t="n">
        <v>0.841037677185961</v>
      </c>
    </row>
    <row r="215" customFormat="false" ht="16.5" hidden="false" customHeight="true" outlineLevel="0" collapsed="false">
      <c r="A215" s="72" t="n">
        <v>45733</v>
      </c>
      <c r="B215" s="68"/>
      <c r="D215" s="73" t="n">
        <v>0.683944513888889</v>
      </c>
      <c r="E215" s="74" t="n">
        <v>26490.3865083086</v>
      </c>
      <c r="F215" s="21" t="n">
        <v>110848.793045824</v>
      </c>
      <c r="G215" s="75" t="n">
        <v>0.314021892963661</v>
      </c>
      <c r="H215" s="21" t="n">
        <v>77340.7060175859</v>
      </c>
      <c r="I215" s="21" t="n">
        <v>164360.496555101</v>
      </c>
      <c r="J215" s="75" t="n">
        <v>0.888771456927876</v>
      </c>
    </row>
    <row r="216" customFormat="false" ht="16.5" hidden="false" customHeight="true" outlineLevel="0" collapsed="false">
      <c r="A216" s="72" t="n">
        <v>45730</v>
      </c>
      <c r="B216" s="68"/>
      <c r="D216" s="73" t="n">
        <v>0.720185289351852</v>
      </c>
      <c r="E216" s="74" t="n">
        <v>27314.1580162818</v>
      </c>
      <c r="F216" s="21" t="n">
        <v>111657.360644797</v>
      </c>
      <c r="G216" s="75" t="n">
        <v>0.323845397910551</v>
      </c>
      <c r="H216" s="21" t="n">
        <v>77548.076707688</v>
      </c>
      <c r="I216" s="21" t="n">
        <v>164552.663336203</v>
      </c>
      <c r="J216" s="75" t="n">
        <v>0.891310213779835</v>
      </c>
    </row>
    <row r="217" customFormat="false" ht="16.5" hidden="false" customHeight="true" outlineLevel="0" collapsed="false">
      <c r="A217" s="72" t="n">
        <v>45729</v>
      </c>
      <c r="B217" s="68"/>
      <c r="D217" s="73" t="n">
        <v>0.761270277777778</v>
      </c>
      <c r="E217" s="74" t="n">
        <v>23001.9071980039</v>
      </c>
      <c r="F217" s="21" t="n">
        <v>107345.109826519</v>
      </c>
      <c r="G217" s="75" t="n">
        <v>0.272717972298426</v>
      </c>
      <c r="H217" s="21" t="n">
        <v>70971.2267072813</v>
      </c>
      <c r="I217" s="21" t="n">
        <v>157975.813335796</v>
      </c>
      <c r="J217" s="75" t="n">
        <v>0.815718221963495</v>
      </c>
    </row>
    <row r="218" customFormat="false" ht="16.5" hidden="false" customHeight="true" outlineLevel="0" collapsed="false">
      <c r="A218" s="72" t="n">
        <v>45727</v>
      </c>
      <c r="B218" s="68"/>
      <c r="D218" s="73" t="n">
        <v>0.6125</v>
      </c>
      <c r="E218" s="74" t="n">
        <v>20837.1916324865</v>
      </c>
      <c r="F218" s="21" t="n">
        <v>105180.394261002</v>
      </c>
      <c r="G218" s="75" t="n">
        <v>0.247052411849509</v>
      </c>
      <c r="H218" s="21" t="n">
        <v>76286.3921232091</v>
      </c>
      <c r="I218" s="21" t="n">
        <v>163290.978751724</v>
      </c>
      <c r="J218" s="75" t="n">
        <v>0.876808856628793</v>
      </c>
    </row>
    <row r="219" customFormat="false" ht="16.5" hidden="false" customHeight="true" outlineLevel="0" collapsed="false">
      <c r="A219" s="72" t="n">
        <v>45726</v>
      </c>
      <c r="B219" s="68"/>
      <c r="D219" s="73" t="n">
        <v>0.556379490740741</v>
      </c>
      <c r="E219" s="74" t="n">
        <v>19132.3552823775</v>
      </c>
      <c r="F219" s="21" t="n">
        <v>103475.557910893</v>
      </c>
      <c r="G219" s="75" t="n">
        <v>0.226839326538795</v>
      </c>
      <c r="H219" s="21" t="n">
        <v>74771.8334830611</v>
      </c>
      <c r="I219" s="21" t="n">
        <v>161776.420111576</v>
      </c>
      <c r="J219" s="75" t="n">
        <v>0.859401054364129</v>
      </c>
    </row>
    <row r="220" customFormat="false" ht="16.5" hidden="false" customHeight="true" outlineLevel="0" collapsed="false">
      <c r="A220" s="72" t="n">
        <v>45723</v>
      </c>
      <c r="B220" s="68"/>
      <c r="D220" s="73" t="n">
        <v>0.72457599537037</v>
      </c>
      <c r="E220" s="74" t="n">
        <v>24030.2545045513</v>
      </c>
      <c r="F220" s="21" t="n">
        <v>108373.457133066</v>
      </c>
      <c r="G220" s="75" t="n">
        <v>0.284910387033691</v>
      </c>
      <c r="H220" s="21" t="n">
        <v>81588.6136866802</v>
      </c>
      <c r="I220" s="21" t="n">
        <v>168593.200315195</v>
      </c>
      <c r="J220" s="75" t="n">
        <v>0.937750719224038</v>
      </c>
    </row>
    <row r="221" customFormat="false" ht="16.5" hidden="false" customHeight="true" outlineLevel="0" collapsed="false">
      <c r="A221" s="72" t="n">
        <v>45722</v>
      </c>
      <c r="B221" s="68"/>
      <c r="D221" s="73" t="n">
        <v>0.652272881944444</v>
      </c>
      <c r="E221" s="74" t="n">
        <v>23670.5483520881</v>
      </c>
      <c r="F221" s="21" t="n">
        <v>108013.750980603</v>
      </c>
      <c r="G221" s="75" t="n">
        <v>0.280645595784923</v>
      </c>
      <c r="H221" s="21" t="n">
        <v>80609.8281885139</v>
      </c>
      <c r="I221" s="21" t="n">
        <v>167614.414817029</v>
      </c>
      <c r="J221" s="75" t="n">
        <v>0.926500904287897</v>
      </c>
    </row>
    <row r="222" customFormat="false" ht="16.5" hidden="false" customHeight="true" outlineLevel="0" collapsed="false">
      <c r="A222" s="72" t="n">
        <v>45721</v>
      </c>
      <c r="B222" s="68"/>
      <c r="D222" s="73" t="n">
        <v>0.712134444444444</v>
      </c>
      <c r="E222" s="74" t="n">
        <v>29136.6813355359</v>
      </c>
      <c r="F222" s="21" t="n">
        <v>113479.883964051</v>
      </c>
      <c r="G222" s="75" t="n">
        <v>0.345453817587017</v>
      </c>
      <c r="H222" s="21" t="n">
        <v>86941.6000269421</v>
      </c>
      <c r="I222" s="21" t="n">
        <v>173946.186655457</v>
      </c>
      <c r="J222" s="75" t="n">
        <v>0.999276054240198</v>
      </c>
    </row>
    <row r="223" customFormat="false" ht="16.5" hidden="false" customHeight="true" outlineLevel="0" collapsed="false">
      <c r="A223" s="72" t="n">
        <v>45720</v>
      </c>
      <c r="B223" s="68"/>
      <c r="D223" s="73" t="n">
        <v>0.564244375</v>
      </c>
      <c r="E223" s="74" t="n">
        <v>28153.9930733046</v>
      </c>
      <c r="F223" s="21" t="n">
        <v>112497.19570182</v>
      </c>
      <c r="G223" s="75" t="n">
        <v>0.333802751091956</v>
      </c>
      <c r="H223" s="21" t="n">
        <v>85260.7729097304</v>
      </c>
      <c r="I223" s="21" t="n">
        <v>172265.359538246</v>
      </c>
      <c r="J223" s="75" t="n">
        <v>0.979957220804573</v>
      </c>
    </row>
    <row r="224" customFormat="false" ht="16.5" hidden="false" customHeight="true" outlineLevel="0" collapsed="false">
      <c r="A224" s="72" t="n">
        <v>45719</v>
      </c>
      <c r="B224" s="68"/>
      <c r="D224" s="73" t="n">
        <v>0.608602708333333</v>
      </c>
      <c r="E224" s="74" t="n">
        <v>28439.4801257322</v>
      </c>
      <c r="F224" s="21" t="n">
        <v>112782.682754247</v>
      </c>
      <c r="G224" s="75" t="n">
        <v>0.337187576940756</v>
      </c>
      <c r="H224" s="21" t="n">
        <v>84834.7202893064</v>
      </c>
      <c r="I224" s="21" t="n">
        <v>171839.306917822</v>
      </c>
      <c r="J224" s="75" t="n">
        <v>0.975060322411812</v>
      </c>
    </row>
    <row r="225" customFormat="false" ht="16.5" hidden="false" customHeight="true" outlineLevel="0" collapsed="false">
      <c r="A225" s="76"/>
      <c r="B225" s="76"/>
      <c r="D225" s="68"/>
      <c r="E225" s="74"/>
      <c r="F225" s="77"/>
      <c r="G225" s="77"/>
      <c r="H225" s="21"/>
      <c r="I225" s="21"/>
      <c r="J225" s="75"/>
      <c r="XFD225" s="21"/>
    </row>
    <row r="226" customFormat="false" ht="16.5" hidden="false" customHeight="true" outlineLevel="0" collapsed="false">
      <c r="A226" s="76"/>
      <c r="B226" s="76"/>
      <c r="C226" s="68"/>
      <c r="D226" s="68"/>
      <c r="E226" s="74"/>
      <c r="G226" s="77"/>
      <c r="H226" s="21"/>
      <c r="I226" s="21"/>
      <c r="J226" s="75"/>
      <c r="XFD226" s="21"/>
    </row>
    <row r="227" customFormat="false" ht="15.75" hidden="false" customHeight="true" outlineLevel="0" collapsed="false">
      <c r="A227" s="76"/>
      <c r="B227" s="76"/>
      <c r="C227" s="68"/>
      <c r="D227" s="68"/>
      <c r="E227" s="74"/>
      <c r="G227" s="77"/>
      <c r="H227" s="21"/>
      <c r="I227" s="21"/>
      <c r="J227" s="75"/>
      <c r="XFD227" s="21"/>
    </row>
    <row r="228" customFormat="false" ht="15.75" hidden="false" customHeight="true" outlineLevel="0" collapsed="false">
      <c r="A228" s="76"/>
      <c r="B228" s="76"/>
      <c r="D228" s="68"/>
      <c r="E228" s="74"/>
      <c r="G228" s="77"/>
      <c r="H228" s="21"/>
      <c r="I228" s="21"/>
      <c r="J228" s="75"/>
      <c r="XFD228" s="21"/>
    </row>
    <row r="229" customFormat="false" ht="15.75" hidden="false" customHeight="true" outlineLevel="0" collapsed="false">
      <c r="A229" s="76"/>
      <c r="B229" s="76"/>
      <c r="C229" s="68"/>
      <c r="D229" s="68"/>
      <c r="H229" s="21"/>
      <c r="XFD229" s="21"/>
    </row>
    <row r="230" customFormat="false" ht="15" hidden="false" customHeight="true" outlineLevel="0" collapsed="false">
      <c r="A230" s="76"/>
      <c r="B230" s="76"/>
      <c r="D230" s="68"/>
      <c r="E230" s="74"/>
      <c r="G230" s="77"/>
      <c r="H230" s="21"/>
      <c r="I230" s="21"/>
      <c r="J230" s="75"/>
      <c r="XFD230" s="21"/>
    </row>
    <row r="231" customFormat="false" ht="15" hidden="false" customHeight="true" outlineLevel="0" collapsed="false">
      <c r="C231" s="68"/>
      <c r="D231" s="68"/>
      <c r="XFD231" s="21"/>
    </row>
    <row r="232" customFormat="false" ht="15" hidden="false" customHeight="true" outlineLevel="0" collapsed="false">
      <c r="C232" s="68"/>
      <c r="D232" s="68"/>
      <c r="XFD232" s="21"/>
    </row>
    <row r="233" customFormat="false" ht="15" hidden="false" customHeight="true" outlineLevel="0" collapsed="false">
      <c r="XFD233" s="21"/>
    </row>
    <row r="234" customFormat="false" ht="13.5" hidden="false" customHeight="true" outlineLevel="0" collapsed="false">
      <c r="XFD234" s="21"/>
    </row>
    <row r="235" customFormat="false" ht="13.5" hidden="false" customHeight="true" outlineLevel="0" collapsed="false">
      <c r="XFD235" s="21"/>
    </row>
    <row r="236" customFormat="false" ht="13.5" hidden="false" customHeight="true" outlineLevel="0" collapsed="false">
      <c r="XFD236" s="21"/>
    </row>
    <row r="237" customFormat="false" ht="13.5" hidden="false" customHeight="true" outlineLevel="0" collapsed="false">
      <c r="XFD237" s="21"/>
    </row>
    <row r="238" customFormat="false" ht="13.5" hidden="false" customHeight="true" outlineLevel="0" collapsed="false">
      <c r="XFD238" s="21"/>
    </row>
    <row r="239" customFormat="false" ht="13.5" hidden="false" customHeight="true" outlineLevel="0" collapsed="false">
      <c r="XFD239" s="21"/>
    </row>
    <row r="240" customFormat="false" ht="13.5" hidden="false" customHeight="true" outlineLevel="0" collapsed="false">
      <c r="XFD240" s="21"/>
    </row>
    <row r="241" customFormat="false" ht="13.5" hidden="false" customHeight="true" outlineLevel="0" collapsed="false">
      <c r="XFD241" s="21"/>
    </row>
    <row r="242" customFormat="false" ht="13.5" hidden="false" customHeight="true" outlineLevel="0" collapsed="false">
      <c r="XFD242" s="21"/>
    </row>
    <row r="243" customFormat="false" ht="13.5" hidden="false" customHeight="true" outlineLevel="0" collapsed="false">
      <c r="XFD243" s="21"/>
    </row>
    <row r="244" customFormat="false" ht="13.5" hidden="false" customHeight="true" outlineLevel="0" collapsed="false">
      <c r="XFD244" s="21"/>
    </row>
    <row r="245" customFormat="false" ht="13.5" hidden="false" customHeight="true" outlineLevel="0" collapsed="false">
      <c r="XFD245" s="21"/>
    </row>
    <row r="246" customFormat="false" ht="13.5" hidden="false" customHeight="true" outlineLevel="0" collapsed="false">
      <c r="XFD246" s="21"/>
    </row>
    <row r="247" customFormat="false" ht="13.5" hidden="false" customHeight="true" outlineLevel="0" collapsed="false">
      <c r="XFD247" s="21"/>
    </row>
    <row r="248" customFormat="false" ht="13.5" hidden="false" customHeight="true" outlineLevel="0" collapsed="false">
      <c r="XFD248" s="21"/>
    </row>
    <row r="249" customFormat="false" ht="13.5" hidden="false" customHeight="true" outlineLevel="0" collapsed="false">
      <c r="XFD249" s="21"/>
    </row>
    <row r="250" customFormat="false" ht="13.5" hidden="false" customHeight="true" outlineLevel="0" collapsed="false">
      <c r="XFD250" s="21"/>
    </row>
    <row r="251" customFormat="false" ht="13.5" hidden="false" customHeight="true" outlineLevel="0" collapsed="false">
      <c r="XFD251" s="21"/>
    </row>
    <row r="252" customFormat="false" ht="13.5" hidden="false" customHeight="true" outlineLevel="0" collapsed="false">
      <c r="XFD252" s="21"/>
    </row>
    <row r="253" customFormat="false" ht="13.5" hidden="false" customHeight="true" outlineLevel="0" collapsed="false">
      <c r="XFD253" s="21"/>
    </row>
    <row r="254" customFormat="false" ht="13.5" hidden="false" customHeight="true" outlineLevel="0" collapsed="false">
      <c r="XFD254" s="21"/>
    </row>
    <row r="255" customFormat="false" ht="13.5" hidden="false" customHeight="true" outlineLevel="0" collapsed="false">
      <c r="XFD255" s="21"/>
    </row>
    <row r="316" customFormat="false" ht="13.5" hidden="false" customHeight="true" outlineLevel="0" collapsed="false">
      <c r="XFD316" s="1"/>
    </row>
    <row r="317" customFormat="false" ht="13.5" hidden="false" customHeight="true" outlineLevel="0" collapsed="false">
      <c r="XFD317" s="1"/>
    </row>
    <row r="318" customFormat="false" ht="13.5" hidden="false" customHeight="true" outlineLevel="0" collapsed="false">
      <c r="XFD318" s="21"/>
    </row>
    <row r="319" customFormat="false" ht="13.5" hidden="false" customHeight="true" outlineLevel="0" collapsed="false">
      <c r="XFD319" s="21"/>
    </row>
    <row r="320" customFormat="false" ht="13.5" hidden="false" customHeight="true" outlineLevel="0" collapsed="false">
      <c r="XFD320" s="21"/>
    </row>
    <row r="321" customFormat="false" ht="13.5" hidden="false" customHeight="true" outlineLevel="0" collapsed="false">
      <c r="XFD321" s="21"/>
    </row>
    <row r="322" customFormat="false" ht="13.5" hidden="false" customHeight="true" outlineLevel="0" collapsed="false">
      <c r="XFD322" s="21"/>
    </row>
    <row r="323" customFormat="false" ht="13.5" hidden="false" customHeight="true" outlineLevel="0" collapsed="false">
      <c r="XFD323" s="21"/>
    </row>
    <row r="324" customFormat="false" ht="13.5" hidden="false" customHeight="true" outlineLevel="0" collapsed="false">
      <c r="XFD324" s="21"/>
    </row>
    <row r="325" customFormat="false" ht="13.5" hidden="false" customHeight="true" outlineLevel="0" collapsed="false">
      <c r="XFD325" s="21"/>
    </row>
    <row r="326" customFormat="false" ht="13.5" hidden="false" customHeight="true" outlineLevel="0" collapsed="false">
      <c r="XFD326" s="21"/>
    </row>
    <row r="327" customFormat="false" ht="13.5" hidden="false" customHeight="true" outlineLevel="0" collapsed="false">
      <c r="XFD327" s="21"/>
    </row>
    <row r="328" customFormat="false" ht="13.5" hidden="false" customHeight="true" outlineLevel="0" collapsed="false">
      <c r="XFD328" s="21"/>
    </row>
    <row r="329" customFormat="false" ht="13.5" hidden="false" customHeight="true" outlineLevel="0" collapsed="false">
      <c r="XFD329" s="21"/>
    </row>
    <row r="330" customFormat="false" ht="13.5" hidden="false" customHeight="true" outlineLevel="0" collapsed="false">
      <c r="XFD330" s="21"/>
    </row>
    <row r="331" customFormat="false" ht="13.5" hidden="false" customHeight="true" outlineLevel="0" collapsed="false">
      <c r="XFD331" s="21"/>
    </row>
    <row r="332" customFormat="false" ht="13.5" hidden="false" customHeight="true" outlineLevel="0" collapsed="false">
      <c r="XFD332" s="21"/>
    </row>
    <row r="333" customFormat="false" ht="13.5" hidden="false" customHeight="true" outlineLevel="0" collapsed="false">
      <c r="XFD333" s="21"/>
    </row>
    <row r="334" customFormat="false" ht="13.5" hidden="false" customHeight="true" outlineLevel="0" collapsed="false">
      <c r="XFD334" s="21"/>
    </row>
    <row r="335" customFormat="false" ht="13.5" hidden="false" customHeight="true" outlineLevel="0" collapsed="false">
      <c r="XFD335" s="21"/>
    </row>
    <row r="336" customFormat="false" ht="13.5" hidden="false" customHeight="true" outlineLevel="0" collapsed="false">
      <c r="XFD336" s="21"/>
    </row>
    <row r="337" customFormat="false" ht="13.5" hidden="false" customHeight="true" outlineLevel="0" collapsed="false">
      <c r="XFD337" s="21"/>
    </row>
    <row r="338" customFormat="false" ht="13.5" hidden="false" customHeight="true" outlineLevel="0" collapsed="false">
      <c r="XFD338" s="21"/>
    </row>
    <row r="339" customFormat="false" ht="13.5" hidden="false" customHeight="true" outlineLevel="0" collapsed="false">
      <c r="XFD339" s="21"/>
    </row>
    <row r="340" customFormat="false" ht="13.5" hidden="false" customHeight="true" outlineLevel="0" collapsed="false">
      <c r="XFD340" s="21"/>
    </row>
    <row r="341" customFormat="false" ht="13.5" hidden="false" customHeight="true" outlineLevel="0" collapsed="false">
      <c r="XFD341" s="21"/>
    </row>
    <row r="342" customFormat="false" ht="13.5" hidden="false" customHeight="true" outlineLevel="0" collapsed="false">
      <c r="XFD342" s="21"/>
    </row>
    <row r="343" customFormat="false" ht="13.5" hidden="false" customHeight="true" outlineLevel="0" collapsed="false">
      <c r="XFD343" s="21"/>
    </row>
    <row r="344" customFormat="false" ht="13.5" hidden="false" customHeight="true" outlineLevel="0" collapsed="false">
      <c r="XFD344" s="21"/>
    </row>
    <row r="345" customFormat="false" ht="13.5" hidden="false" customHeight="true" outlineLevel="0" collapsed="false">
      <c r="XFD345" s="21"/>
    </row>
    <row r="346" customFormat="false" ht="13.5" hidden="false" customHeight="true" outlineLevel="0" collapsed="false">
      <c r="XFD346" s="21"/>
    </row>
    <row r="347" customFormat="false" ht="13.5" hidden="false" customHeight="true" outlineLevel="0" collapsed="false">
      <c r="XFD347" s="21"/>
    </row>
    <row r="348" customFormat="false" ht="13.5" hidden="false" customHeight="true" outlineLevel="0" collapsed="false">
      <c r="XFD348" s="21"/>
    </row>
    <row r="349" customFormat="false" ht="13.5" hidden="false" customHeight="true" outlineLevel="0" collapsed="false">
      <c r="XFD349" s="21"/>
    </row>
    <row r="350" customFormat="false" ht="13.5" hidden="false" customHeight="true" outlineLevel="0" collapsed="false">
      <c r="XFD350" s="21"/>
    </row>
    <row r="351" customFormat="false" ht="13.5" hidden="false" customHeight="true" outlineLevel="0" collapsed="false">
      <c r="XFD351" s="21"/>
    </row>
    <row r="352" customFormat="false" ht="13.5" hidden="false" customHeight="true" outlineLevel="0" collapsed="false">
      <c r="XFD352" s="21"/>
    </row>
    <row r="353" customFormat="false" ht="13.5" hidden="false" customHeight="true" outlineLevel="0" collapsed="false">
      <c r="XFD353" s="21"/>
    </row>
    <row r="354" customFormat="false" ht="13.5" hidden="false" customHeight="true" outlineLevel="0" collapsed="false">
      <c r="XFD354" s="21"/>
    </row>
    <row r="355" customFormat="false" ht="13.5" hidden="false" customHeight="true" outlineLevel="0" collapsed="false">
      <c r="XFD355" s="21"/>
    </row>
    <row r="356" customFormat="false" ht="13.5" hidden="false" customHeight="true" outlineLevel="0" collapsed="false">
      <c r="XFD356" s="21"/>
    </row>
    <row r="357" customFormat="false" ht="13.5" hidden="false" customHeight="true" outlineLevel="0" collapsed="false">
      <c r="XFD357" s="21"/>
    </row>
    <row r="358" customFormat="false" ht="13.5" hidden="false" customHeight="true" outlineLevel="0" collapsed="false">
      <c r="XFD358" s="21"/>
    </row>
    <row r="359" customFormat="false" ht="13.5" hidden="false" customHeight="true" outlineLevel="0" collapsed="false">
      <c r="XFD359" s="21"/>
    </row>
    <row r="360" customFormat="false" ht="13.5" hidden="false" customHeight="true" outlineLevel="0" collapsed="false">
      <c r="XFD360" s="21"/>
    </row>
    <row r="361" customFormat="false" ht="13.5" hidden="false" customHeight="true" outlineLevel="0" collapsed="false">
      <c r="XFD361" s="21"/>
    </row>
    <row r="362" customFormat="false" ht="13.5" hidden="false" customHeight="true" outlineLevel="0" collapsed="false">
      <c r="XFD362" s="21"/>
    </row>
    <row r="363" customFormat="false" ht="13.5" hidden="false" customHeight="true" outlineLevel="0" collapsed="false">
      <c r="XFD363" s="21"/>
    </row>
    <row r="364" customFormat="false" ht="13.5" hidden="false" customHeight="true" outlineLevel="0" collapsed="false">
      <c r="XFD364" s="21"/>
    </row>
    <row r="365" customFormat="false" ht="13.5" hidden="false" customHeight="true" outlineLevel="0" collapsed="false">
      <c r="XFD365" s="21"/>
    </row>
    <row r="366" customFormat="false" ht="13.5" hidden="false" customHeight="true" outlineLevel="0" collapsed="false">
      <c r="XFD366" s="72"/>
    </row>
    <row r="367" customFormat="false" ht="13.5" hidden="false" customHeight="true" outlineLevel="0" collapsed="false">
      <c r="XFD367" s="72"/>
    </row>
    <row r="368" customFormat="false" ht="13.5" hidden="false" customHeight="true" outlineLevel="0" collapsed="false">
      <c r="XFD368" s="72"/>
    </row>
    <row r="369" customFormat="false" ht="13.5" hidden="false" customHeight="true" outlineLevel="0" collapsed="false">
      <c r="XFD369" s="72"/>
    </row>
    <row r="370" customFormat="false" ht="13.5" hidden="false" customHeight="true" outlineLevel="0" collapsed="false">
      <c r="XFD370" s="72"/>
    </row>
    <row r="419" customFormat="false" ht="13.5" hidden="false" customHeight="true" outlineLevel="0" collapsed="false">
      <c r="XFD419" s="1"/>
    </row>
    <row r="420" customFormat="false" ht="13.5" hidden="false" customHeight="true" outlineLevel="0" collapsed="false">
      <c r="XFD420" s="1"/>
    </row>
    <row r="421" customFormat="false" ht="13.5" hidden="false" customHeight="true" outlineLevel="0" collapsed="false">
      <c r="XFD421" s="21"/>
    </row>
    <row r="422" customFormat="false" ht="13.5" hidden="false" customHeight="true" outlineLevel="0" collapsed="false">
      <c r="XFD422" s="21"/>
    </row>
    <row r="1048355" customFormat="false" ht="12.75" hidden="false" customHeight="true" outlineLevel="0" collapsed="false"/>
    <row r="1048356" customFormat="false" ht="12.75" hidden="false" customHeight="true" outlineLevel="0" collapsed="false"/>
    <row r="1048357" customFormat="false" ht="12.75" hidden="false" customHeight="true" outlineLevel="0" collapsed="false"/>
    <row r="1048358" customFormat="false" ht="12.75" hidden="false" customHeight="true" outlineLevel="0" collapsed="false"/>
    <row r="1048359" customFormat="false" ht="12.75" hidden="false" customHeight="true" outlineLevel="0" collapsed="false"/>
    <row r="1048360" customFormat="false" ht="12.75" hidden="false" customHeight="true" outlineLevel="0" collapsed="false"/>
    <row r="1048361" customFormat="false" ht="12.75" hidden="false" customHeight="true" outlineLevel="0" collapsed="false"/>
    <row r="1048362" customFormat="false" ht="12.75" hidden="false" customHeight="true" outlineLevel="0" collapsed="false"/>
    <row r="1048363" customFormat="false" ht="12.75" hidden="false" customHeight="true" outlineLevel="0" collapsed="false"/>
    <row r="1048364" customFormat="false" ht="12.75" hidden="false" customHeight="true" outlineLevel="0" collapsed="false"/>
    <row r="1048365" customFormat="false" ht="12.75" hidden="false" customHeight="true" outlineLevel="0" collapsed="false"/>
    <row r="1048366" customFormat="false" ht="12.75" hidden="false" customHeight="true" outlineLevel="0" collapsed="false"/>
    <row r="1048367" customFormat="false" ht="12.75" hidden="false" customHeight="true" outlineLevel="0" collapsed="false"/>
    <row r="1048368" customFormat="false" ht="12.75" hidden="false" customHeight="true" outlineLevel="0" collapsed="false"/>
    <row r="1048369" customFormat="false" ht="12.75" hidden="false" customHeight="true" outlineLevel="0" collapsed="false"/>
    <row r="1048370" customFormat="false" ht="12.75" hidden="false" customHeight="true" outlineLevel="0" collapsed="false"/>
    <row r="1048371" customFormat="false" ht="12.75" hidden="false" customHeight="true" outlineLevel="0" collapsed="false"/>
    <row r="1048372" customFormat="false" ht="12.75" hidden="false" customHeight="true" outlineLevel="0" collapsed="false"/>
    <row r="1048373" customFormat="false" ht="12.75" hidden="false" customHeight="true" outlineLevel="0" collapsed="false"/>
    <row r="1048374" customFormat="false" ht="12.75" hidden="false" customHeight="true" outlineLevel="0" collapsed="false"/>
    <row r="1048375" customFormat="false" ht="12.75" hidden="false" customHeight="true" outlineLevel="0" collapsed="false"/>
    <row r="1048376" customFormat="false" ht="12.75" hidden="false" customHeight="true" outlineLevel="0" collapsed="false"/>
    <row r="1048377" customFormat="false" ht="12.75" hidden="false" customHeight="true" outlineLevel="0" collapsed="false"/>
    <row r="1048378" customFormat="false" ht="12.75" hidden="false" customHeight="true" outlineLevel="0" collapsed="false"/>
    <row r="1048379" customFormat="false" ht="12.75" hidden="false" customHeight="true" outlineLevel="0" collapsed="false"/>
    <row r="1048380" customFormat="false" ht="12.75" hidden="false" customHeight="true" outlineLevel="0" collapsed="false"/>
    <row r="1048381" customFormat="false" ht="12.75" hidden="false" customHeight="true" outlineLevel="0" collapsed="false"/>
    <row r="1048382" customFormat="false" ht="12.75" hidden="false" customHeight="true" outlineLevel="0" collapsed="false"/>
    <row r="1048383" customFormat="false" ht="12.75" hidden="false" customHeight="true" outlineLevel="0" collapsed="false"/>
    <row r="1048384" customFormat="false" ht="12.75" hidden="false" customHeight="true" outlineLevel="0" collapsed="false"/>
    <row r="1048385" customFormat="false" ht="12.75" hidden="false" customHeight="true" outlineLevel="0" collapsed="false"/>
    <row r="1048386" customFormat="false" ht="12.75" hidden="false" customHeight="true" outlineLevel="0" collapsed="false"/>
    <row r="1048387" customFormat="false" ht="12.75" hidden="false" customHeight="true" outlineLevel="0" collapsed="false"/>
    <row r="1048388" customFormat="false" ht="12.75" hidden="false" customHeight="true" outlineLevel="0" collapsed="false"/>
    <row r="1048389" customFormat="false" ht="12.75" hidden="false" customHeight="true" outlineLevel="0" collapsed="false"/>
    <row r="1048390" customFormat="false" ht="12.75" hidden="false" customHeight="true" outlineLevel="0" collapsed="false"/>
    <row r="1048391" customFormat="false" ht="12.75" hidden="false" customHeight="true" outlineLevel="0" collapsed="false"/>
    <row r="1048392" customFormat="false" ht="12.75" hidden="false" customHeight="true" outlineLevel="0" collapsed="false"/>
    <row r="1048393" customFormat="false" ht="12.75" hidden="false" customHeight="true" outlineLevel="0" collapsed="false"/>
    <row r="1048394" customFormat="false" ht="12.75" hidden="false" customHeight="true" outlineLevel="0" collapsed="false"/>
    <row r="1048395" customFormat="false" ht="12.75" hidden="false" customHeight="true" outlineLevel="0" collapsed="false"/>
    <row r="1048396" customFormat="false" ht="12.75" hidden="false" customHeight="true" outlineLevel="0" collapsed="false"/>
    <row r="1048397" customFormat="false" ht="12.75" hidden="false" customHeight="true" outlineLevel="0" collapsed="false"/>
    <row r="1048398" customFormat="false" ht="12.75" hidden="false" customHeight="true" outlineLevel="0" collapsed="false"/>
    <row r="1048399" customFormat="false" ht="12.75" hidden="false" customHeight="true" outlineLevel="0" collapsed="false"/>
    <row r="1048400" customFormat="false" ht="12.75" hidden="false" customHeight="true" outlineLevel="0" collapsed="false"/>
    <row r="1048401" customFormat="false" ht="12.75" hidden="false" customHeight="true" outlineLevel="0" collapsed="false"/>
    <row r="1048402" customFormat="false" ht="12.75" hidden="false" customHeight="true" outlineLevel="0" collapsed="false"/>
    <row r="1048403" customFormat="false" ht="12.75" hidden="false" customHeight="true" outlineLevel="0" collapsed="false"/>
    <row r="1048404" customFormat="false" ht="12.75" hidden="false" customHeight="true" outlineLevel="0" collapsed="false"/>
    <row r="1048405" customFormat="false" ht="12.75" hidden="false" customHeight="true" outlineLevel="0" collapsed="false"/>
    <row r="1048406" customFormat="false" ht="12.75" hidden="false" customHeight="true" outlineLevel="0" collapsed="false"/>
    <row r="1048407" customFormat="false" ht="12.75" hidden="false" customHeight="true" outlineLevel="0" collapsed="false"/>
    <row r="1048408" customFormat="false" ht="12.75" hidden="false" customHeight="true" outlineLevel="0" collapsed="false"/>
    <row r="1048409" customFormat="false" ht="12.75" hidden="false" customHeight="true" outlineLevel="0" collapsed="false"/>
    <row r="1048410" customFormat="false" ht="12.75" hidden="false" customHeight="true" outlineLevel="0" collapsed="false"/>
    <row r="1048411" customFormat="false" ht="12.75" hidden="false" customHeight="true" outlineLevel="0" collapsed="false"/>
    <row r="1048412" customFormat="false" ht="12.75" hidden="false" customHeight="true" outlineLevel="0" collapsed="false"/>
    <row r="1048413" customFormat="false" ht="12.75" hidden="false" customHeight="true" outlineLevel="0" collapsed="false"/>
    <row r="1048414" customFormat="false" ht="12.75" hidden="false" customHeight="true" outlineLevel="0" collapsed="false"/>
    <row r="1048415" customFormat="false" ht="12.75" hidden="false" customHeight="true" outlineLevel="0" collapsed="false"/>
    <row r="1048416" customFormat="false" ht="12.75" hidden="false" customHeight="true" outlineLevel="0" collapsed="false"/>
    <row r="1048417" customFormat="false" ht="12.75" hidden="false" customHeight="true" outlineLevel="0" collapsed="false"/>
    <row r="1048418" customFormat="false" ht="12.75" hidden="false" customHeight="true" outlineLevel="0" collapsed="false"/>
    <row r="1048419" customFormat="false" ht="12.75" hidden="false" customHeight="true" outlineLevel="0" collapsed="false"/>
    <row r="1048420" customFormat="false" ht="12.75" hidden="false" customHeight="true" outlineLevel="0" collapsed="false"/>
    <row r="1048421" customFormat="false" ht="12.75" hidden="false" customHeight="true" outlineLevel="0" collapsed="false"/>
    <row r="1048422" customFormat="false" ht="12.75" hidden="false" customHeight="true" outlineLevel="0" collapsed="false"/>
    <row r="1048423" customFormat="false" ht="12.75" hidden="false" customHeight="true" outlineLevel="0" collapsed="false"/>
    <row r="1048424" customFormat="false" ht="12.75" hidden="false" customHeight="true" outlineLevel="0" collapsed="false"/>
    <row r="1048425" customFormat="false" ht="12.75" hidden="false" customHeight="true" outlineLevel="0" collapsed="false"/>
    <row r="1048426" customFormat="false" ht="12.75" hidden="false" customHeight="true" outlineLevel="0" collapsed="false"/>
    <row r="1048427" customFormat="false" ht="12.75" hidden="false" customHeight="true" outlineLevel="0" collapsed="false"/>
    <row r="1048428" customFormat="false" ht="12.75" hidden="false" customHeight="true" outlineLevel="0" collapsed="false"/>
    <row r="1048429" customFormat="false" ht="12.75" hidden="false" customHeight="true" outlineLevel="0" collapsed="false"/>
    <row r="1048430" customFormat="false" ht="12.75" hidden="false" customHeight="true" outlineLevel="0" collapsed="false"/>
    <row r="1048431" customFormat="false" ht="12.75" hidden="false" customHeight="true" outlineLevel="0" collapsed="false"/>
    <row r="1048432" customFormat="false" ht="12.75" hidden="false" customHeight="true" outlineLevel="0" collapsed="false"/>
    <row r="1048433" customFormat="false" ht="12.75" hidden="false" customHeight="true" outlineLevel="0" collapsed="false"/>
    <row r="1048434" customFormat="false" ht="12.75" hidden="false" customHeight="true" outlineLevel="0" collapsed="false"/>
    <row r="1048435" customFormat="false" ht="12.75" hidden="false" customHeight="true" outlineLevel="0" collapsed="false"/>
    <row r="1048436" customFormat="false" ht="12.75" hidden="false" customHeight="true" outlineLevel="0" collapsed="false"/>
    <row r="1048437" customFormat="false" ht="12.75" hidden="false" customHeight="true" outlineLevel="0" collapsed="false"/>
    <row r="1048438" customFormat="false" ht="12.75" hidden="false" customHeight="true" outlineLevel="0" collapsed="false"/>
    <row r="1048439" customFormat="false" ht="12.75" hidden="false" customHeight="true" outlineLevel="0" collapsed="false"/>
    <row r="1048440" customFormat="false" ht="12.75" hidden="false" customHeight="true" outlineLevel="0" collapsed="false"/>
    <row r="1048441" customFormat="false" ht="12.75" hidden="false" customHeight="true" outlineLevel="0" collapsed="false"/>
    <row r="1048442" customFormat="false" ht="12.75" hidden="false" customHeight="true" outlineLevel="0" collapsed="false"/>
    <row r="1048443" customFormat="false" ht="12.75" hidden="false" customHeight="true" outlineLevel="0" collapsed="false"/>
    <row r="1048444" customFormat="false" ht="12.75" hidden="false" customHeight="true" outlineLevel="0" collapsed="false"/>
    <row r="1048445" customFormat="false" ht="12.75" hidden="false" customHeight="true" outlineLevel="0" collapsed="false"/>
    <row r="1048446" customFormat="false" ht="12.75" hidden="false" customHeight="true" outlineLevel="0" collapsed="false"/>
    <row r="1048447" customFormat="false" ht="12.75" hidden="false" customHeight="true" outlineLevel="0" collapsed="false"/>
    <row r="1048448" customFormat="false" ht="12.75" hidden="false" customHeight="true" outlineLevel="0" collapsed="false"/>
    <row r="1048449" customFormat="false" ht="12.75" hidden="false" customHeight="true" outlineLevel="0" collapsed="false"/>
    <row r="1048450" customFormat="false" ht="12.75" hidden="false" customHeight="true" outlineLevel="0" collapsed="false"/>
    <row r="1048451" customFormat="false" ht="12.75" hidden="false" customHeight="true" outlineLevel="0" collapsed="false"/>
    <row r="1048452" customFormat="false" ht="12.75" hidden="false" customHeight="true" outlineLevel="0" collapsed="false"/>
    <row r="1048453" customFormat="false" ht="12.75" hidden="false" customHeight="true" outlineLevel="0" collapsed="false"/>
    <row r="1048454" customFormat="false" ht="12.75" hidden="false" customHeight="true" outlineLevel="0" collapsed="false"/>
    <row r="1048455" customFormat="false" ht="12.75" hidden="false" customHeight="true" outlineLevel="0" collapsed="false"/>
    <row r="1048456" customFormat="false" ht="12.75" hidden="false" customHeight="true" outlineLevel="0" collapsed="false"/>
    <row r="1048457" customFormat="false" ht="12.75" hidden="false" customHeight="true" outlineLevel="0" collapsed="false"/>
    <row r="1048458" customFormat="false" ht="12.75" hidden="false" customHeight="true" outlineLevel="0" collapsed="false"/>
    <row r="1048459" customFormat="false" ht="12.75" hidden="false" customHeight="true" outlineLevel="0" collapsed="false"/>
    <row r="1048460" customFormat="false" ht="12.75" hidden="false" customHeight="true" outlineLevel="0" collapsed="false"/>
    <row r="1048461" customFormat="false" ht="12.75" hidden="false" customHeight="true" outlineLevel="0" collapsed="false"/>
    <row r="1048462" customFormat="false" ht="12.75" hidden="false" customHeight="true" outlineLevel="0" collapsed="false"/>
    <row r="1048463" customFormat="false" ht="12.75" hidden="false" customHeight="true" outlineLevel="0" collapsed="false"/>
    <row r="1048464" customFormat="false" ht="12.75" hidden="false" customHeight="true" outlineLevel="0" collapsed="false"/>
    <row r="1048465" customFormat="false" ht="12.75" hidden="false" customHeight="true" outlineLevel="0" collapsed="false"/>
    <row r="1048466" customFormat="false" ht="12.75" hidden="false" customHeight="true" outlineLevel="0" collapsed="false"/>
    <row r="1048467" customFormat="false" ht="12.75" hidden="false" customHeight="true" outlineLevel="0" collapsed="false"/>
    <row r="1048468" customFormat="false" ht="12.75" hidden="false" customHeight="true" outlineLevel="0" collapsed="false"/>
    <row r="1048469" customFormat="false" ht="12.75" hidden="false" customHeight="true" outlineLevel="0" collapsed="false"/>
    <row r="1048470" customFormat="false" ht="12.75" hidden="false" customHeight="true" outlineLevel="0" collapsed="false"/>
    <row r="1048471" customFormat="false" ht="12.75" hidden="false" customHeight="true" outlineLevel="0" collapsed="false"/>
    <row r="1048472" customFormat="false" ht="12.75" hidden="false" customHeight="true" outlineLevel="0" collapsed="false"/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2">
    <mergeCell ref="E35:G35"/>
    <mergeCell ref="H35:J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2021-10-29T16:46:49Z</dcterms:created>
  <dc:creator>William Chang</dc:creator>
  <dc:description/>
  <dc:language>en-US</dc:language>
  <cp:lastModifiedBy/>
  <dcterms:modified xsi:type="dcterms:W3CDTF">2025-11-14T16:50:51Z</dcterms:modified>
  <cp:revision>3373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